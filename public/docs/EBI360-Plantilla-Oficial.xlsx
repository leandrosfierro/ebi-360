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Glosario" sheetId="2" r:id="rId2"/>
    <sheet name="Respuestas" sheetId="3" r:id="rId3"/>
    <sheet name="Resumen" sheetId="4" r:id="rId4"/>
    <sheet name="Índices" sheetId="5" r:id="rId5"/>
    <sheet name="Mensajes" sheetId="6" r:id="rId6"/>
    <sheet name="Recomendaciones" sheetId="7" r:id="rId7"/>
    <sheet name="Conclusiones" sheetId="8" r:id="rId8"/>
    <sheet name="Informe_detallado" sheetId="9" r:id="rId9"/>
    <sheet name="Algorithm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Campo</v>
      </c>
      <c r="B1" t="str">
        <v>Valor</v>
      </c>
      <c r="C1" t="str">
        <v>Descripción</v>
      </c>
    </row>
    <row r="2">
      <c r="A2" t="str">
        <v>Código</v>
      </c>
      <c r="B2" t="str">
        <v>EBI360</v>
      </c>
      <c r="C2" t="str">
        <v>Código único de la encuesta</v>
      </c>
    </row>
    <row r="3">
      <c r="A3" t="str">
        <v>Nombre</v>
      </c>
      <c r="B3" t="str">
        <v>EBI 360 v2.0</v>
      </c>
      <c r="C3" t="str">
        <v>Nombre oficial</v>
      </c>
    </row>
    <row r="4">
      <c r="A4" t="str">
        <v>Descripción</v>
      </c>
      <c r="B4" t="str">
        <v>Evaluación de Bienestar Integral 360</v>
      </c>
      <c r="C4" t="str">
        <v>Descripción breve</v>
      </c>
    </row>
    <row r="5">
      <c r="A5" t="str">
        <v>Tipo</v>
      </c>
      <c r="B5" t="str">
        <v>base</v>
      </c>
      <c r="C5" t="str">
        <v>base / regulatory / custom</v>
      </c>
    </row>
    <row r="6">
      <c r="A6" t="str">
        <v>País</v>
      </c>
      <c r="B6" t="str">
        <v>Global</v>
      </c>
      <c r="C6" t="str">
        <v>País de aplicación</v>
      </c>
    </row>
    <row r="7">
      <c r="A7" t="str">
        <v>Normativa</v>
      </c>
      <c r="B7" t="str">
        <v>EBI-Standard</v>
      </c>
      <c r="C7" t="str">
        <v>Normativa aplicable</v>
      </c>
    </row>
    <row r="8">
      <c r="A8" t="str">
        <v>Versión</v>
      </c>
      <c r="B8" t="str">
        <v>2.0</v>
      </c>
      <c r="C8" t="str">
        <v>Versión del documento</v>
      </c>
    </row>
    <row r="9">
      <c r="A9" t="str">
        <v>Es Base</v>
      </c>
      <c r="B9" t="str">
        <v>SI</v>
      </c>
      <c r="C9" t="str">
        <v>SI / NO</v>
      </c>
    </row>
    <row r="10">
      <c r="A10" t="str">
        <v>Es Obligatoria</v>
      </c>
      <c r="B10" t="str">
        <v>SI</v>
      </c>
      <c r="C10" t="str">
        <v>SI / NO</v>
      </c>
    </row>
  </sheetData>
  <ignoredErrors>
    <ignoredError numberStoredAsText="1" sqref="A1:C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Campo / Concepto</v>
      </c>
      <c r="B1" t="str">
        <v>Descripción</v>
      </c>
    </row>
    <row r="2">
      <c r="A2" t="str">
        <v>Dominio</v>
      </c>
      <c r="B2" t="str">
        <v>Dimensión del bienestar evaluada (Físico, Nutricional, Emocional, Social, Familiar, Económico).</v>
      </c>
    </row>
    <row r="3">
      <c r="A3" t="str">
        <v>Constructo</v>
      </c>
      <c r="B3" t="str">
        <v>Aspecto específico dentro de un dominio que se mide a través de una o más preguntas.</v>
      </c>
    </row>
    <row r="4">
      <c r="A4" t="str">
        <v>Tipo</v>
      </c>
      <c r="B4" t="str">
        <v>RP: responsabilidad personal. FO: factor organizacional.</v>
      </c>
    </row>
    <row r="5">
      <c r="A5" t="str">
        <v>PD_constructo</v>
      </c>
      <c r="B5" t="str">
        <v>Peso relativo del constructo dentro de su dominio.</v>
      </c>
    </row>
    <row r="6">
      <c r="A6" t="str">
        <v>SR_constructo</v>
      </c>
      <c r="B6" t="str">
        <v>Severidad: impacto negativo que tiene un puntaje bajo en ese constructo sobre el bienestar.</v>
      </c>
    </row>
    <row r="7">
      <c r="A7" t="str">
        <v>Peso_personal</v>
      </c>
      <c r="B7" t="str">
        <v>Valor 1 si la pregunta mide responsabilidad personal (RP), 0 si no.</v>
      </c>
    </row>
    <row r="8">
      <c r="A8" t="str">
        <v>Peso_organizacional</v>
      </c>
      <c r="B8" t="str">
        <v>Valor 1 si la pregunta mide factor organizacional (FO), 0 si no.</v>
      </c>
    </row>
    <row r="9">
      <c r="A9" t="str">
        <v>Respuesta_1a5</v>
      </c>
      <c r="B9" t="str">
        <v>Respuesta de la persona en escala de 1 a 5 (1 muy bajo/en desacuerdo, 5 muy alto/de acuerdo).</v>
      </c>
    </row>
    <row r="10">
      <c r="A10" t="str">
        <v>Score_pregunta</v>
      </c>
      <c r="B10" t="str">
        <v>Cálculo ponderado de cada ítem: (Respuesta/5) × PD_constructo × SR_constructo.</v>
      </c>
    </row>
    <row r="11">
      <c r="A11" t="str">
        <v>Score_personal</v>
      </c>
      <c r="B11" t="str">
        <v>Parte del score atribuible a factores personales: Score_pregunta × Peso_personal.</v>
      </c>
    </row>
    <row r="12">
      <c r="A12" t="str">
        <v>Score_organizacional</v>
      </c>
      <c r="B12" t="str">
        <v>Parte del score atribuible al contexto organizacional: Score_pregunta × Peso_organizacional.</v>
      </c>
    </row>
    <row r="13">
      <c r="A13" t="str">
        <v>Peso_total</v>
      </c>
      <c r="B13" t="str">
        <v>PD_constructo × SR_constructo. Se usa como denominador para normalizar índices.</v>
      </c>
    </row>
    <row r="14">
      <c r="A14" t="str">
        <v>IP_global / IO_global / IGB_global</v>
      </c>
      <c r="B14" t="str">
        <v>Índices globales personal, organizacional y general (0–5).</v>
      </c>
    </row>
    <row r="15">
      <c r="A15" t="str">
        <v>IP_dom / IO_dom / IGB_dom</v>
      </c>
      <c r="B15" t="str">
        <v>Índices personales, organizacionales y generales por dominio.</v>
      </c>
    </row>
    <row r="16">
      <c r="A16" t="str">
        <v>Valor_%</v>
      </c>
      <c r="B16" t="str">
        <v>Versión en porcentaje de los índices (Valor/5 × 100).</v>
      </c>
    </row>
    <row r="17">
      <c r="A17" t="str">
        <v>Conclusiones</v>
      </c>
      <c r="B17" t="str">
        <v>Hoja que interpreta automáticamente los resultados por dominio y sugiere conclusiones y recomendaciones base.</v>
      </c>
    </row>
    <row r="18">
      <c r="A18" t="str">
        <v>Recomendaciones</v>
      </c>
      <c r="B18" t="str">
        <v>Hoja que resume las recomendaciones clave por dominio según su nivel de criticidad.</v>
      </c>
    </row>
    <row r="19">
      <c r="A19" t="str">
        <v>Informe_detallado</v>
      </c>
      <c r="B19" t="str">
        <v>Vista ampliada por dominio: índices, porcentajes, conclusiones, insights RP vs FO y recomendaciones.</v>
      </c>
    </row>
    <row r="20">
      <c r="A20" t="str">
        <v>Resumen</v>
      </c>
      <c r="B20" t="str">
        <v>Hoja orientada a nivel ejecutivo: IP, IO, IGB y conclusión global del estado de bienestar.</v>
      </c>
    </row>
  </sheetData>
  <pageMargins left="0.75" right="0.75" top="1" bottom="1" header="0.5" footer="0.5"/>
  <ignoredErrors>
    <ignoredError numberStoredAsText="1" sqref="A1:B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Data>
    <row r="1">
      <c r="A1" t="str">
        <v>Dominio</v>
      </c>
      <c r="B1" t="str">
        <v>Constructo</v>
      </c>
      <c r="C1" t="str">
        <v>Tipo</v>
      </c>
      <c r="D1" t="str">
        <v>Pregunta</v>
      </c>
      <c r="E1" t="str">
        <v>PD_constructo</v>
      </c>
      <c r="F1" t="str">
        <v>SR_constructo</v>
      </c>
      <c r="G1" t="str">
        <v>Peso_personal</v>
      </c>
      <c r="H1" t="str">
        <v>Peso_organizacional</v>
      </c>
      <c r="I1" t="str">
        <v>Respuesta_1a5</v>
      </c>
      <c r="J1" t="str">
        <v>Score_pregunta</v>
      </c>
      <c r="K1" t="str">
        <v>Score_personal</v>
      </c>
      <c r="L1" t="str">
        <v>Score_organizacional</v>
      </c>
      <c r="M1" t="str">
        <v>Peso_total</v>
      </c>
    </row>
    <row r="2">
      <c r="A2" t="str">
        <v>Físico</v>
      </c>
      <c r="B2" t="str">
        <v>Bienestar corporal básico</v>
      </c>
      <c r="C2" t="str">
        <v>RP</v>
      </c>
      <c r="D2" t="str">
        <v>¿Dormís lo suficiente como para sentirte descansado/a la mayoría de los días?</v>
      </c>
      <c r="E2">
        <v>0.6</v>
      </c>
      <c r="F2">
        <v>0.9</v>
      </c>
      <c r="G2">
        <v>1</v>
      </c>
      <c r="H2">
        <v>0</v>
      </c>
      <c r="J2">
        <f>(I2/5)*E2*F2</f>
        <v>0</v>
      </c>
      <c r="K2">
        <f>J2*G2</f>
        <v>0</v>
      </c>
      <c r="L2">
        <f>J2*H2</f>
        <v>0</v>
      </c>
      <c r="M2">
        <f>E2*F2</f>
        <v>0.54</v>
      </c>
    </row>
    <row r="3">
      <c r="A3" t="str">
        <v>Físico</v>
      </c>
      <c r="B3" t="str">
        <v>Bienestar corporal básico</v>
      </c>
      <c r="C3" t="str">
        <v>FO</v>
      </c>
      <c r="D3" t="str">
        <v>¿Tu jornada laboral permite mantener horarios regulares de descanso?</v>
      </c>
      <c r="E3">
        <v>0.6</v>
      </c>
      <c r="F3">
        <v>0.9</v>
      </c>
      <c r="G3">
        <v>0</v>
      </c>
      <c r="H3">
        <v>1</v>
      </c>
      <c r="J3">
        <f>(I3/5)*E3*F3</f>
        <v>0</v>
      </c>
      <c r="K3">
        <f>J3*G3</f>
        <v>0</v>
      </c>
      <c r="L3">
        <f>J3*H3</f>
        <v>0</v>
      </c>
      <c r="M3">
        <f>E3*F3</f>
        <v>0.54</v>
      </c>
    </row>
    <row r="4">
      <c r="A4" t="str">
        <v>Físico</v>
      </c>
      <c r="B4" t="str">
        <v>Cuidado físico diario</v>
      </c>
      <c r="C4" t="str">
        <v>RP</v>
      </c>
      <c r="D4" t="str">
        <v>¿Te tomás pequeñas pausas o te movés unos minutos durante tu jornada?</v>
      </c>
      <c r="E4">
        <v>0.4</v>
      </c>
      <c r="F4">
        <v>0.8</v>
      </c>
      <c r="G4">
        <v>1</v>
      </c>
      <c r="H4">
        <v>0</v>
      </c>
      <c r="J4">
        <f>(I4/5)*E4*F4</f>
        <v>0</v>
      </c>
      <c r="K4">
        <f>J4*G4</f>
        <v>0</v>
      </c>
      <c r="L4">
        <f>J4*H4</f>
        <v>0</v>
      </c>
      <c r="M4">
        <f>E4*F4</f>
        <v>0.32000000000000006</v>
      </c>
    </row>
    <row r="5">
      <c r="A5" t="str">
        <v>Físico</v>
      </c>
      <c r="B5" t="str">
        <v>Cuidado físico diario</v>
      </c>
      <c r="C5" t="str">
        <v>FO</v>
      </c>
      <c r="D5" t="str">
        <v>¿El ritmo de trabajo permite hacer pausas breves cuando las necesitás?</v>
      </c>
      <c r="E5">
        <v>0.4</v>
      </c>
      <c r="F5">
        <v>0.8</v>
      </c>
      <c r="G5">
        <v>0</v>
      </c>
      <c r="H5">
        <v>1</v>
      </c>
      <c r="J5">
        <f>(I5/5)*E5*F5</f>
        <v>0</v>
      </c>
      <c r="K5">
        <f>J5*G5</f>
        <v>0</v>
      </c>
      <c r="L5">
        <f>J5*H5</f>
        <v>0</v>
      </c>
      <c r="M5">
        <f>E5*F5</f>
        <v>0.32000000000000006</v>
      </c>
    </row>
    <row r="6">
      <c r="A6" t="str">
        <v>Nutricional</v>
      </c>
      <c r="B6" t="str">
        <v>Hábitos alimentarios básicos</v>
      </c>
      <c r="C6" t="str">
        <v>RP</v>
      </c>
      <c r="D6" t="str">
        <v>¿Mantenés horarios mínimos para comer sin saltearte comidas?</v>
      </c>
      <c r="E6">
        <v>1</v>
      </c>
      <c r="F6">
        <v>0.7</v>
      </c>
      <c r="G6">
        <v>1</v>
      </c>
      <c r="H6">
        <v>0</v>
      </c>
      <c r="J6">
        <f>(I6/5)*E6*F6</f>
        <v>0</v>
      </c>
      <c r="K6">
        <f>J6*G6</f>
        <v>0</v>
      </c>
      <c r="L6">
        <f>J6*H6</f>
        <v>0</v>
      </c>
      <c r="M6">
        <f>E6*F6</f>
        <v>0.7</v>
      </c>
    </row>
    <row r="7">
      <c r="A7" t="str">
        <v>Nutricional</v>
      </c>
      <c r="B7" t="str">
        <v>Hábitos alimentarios básicos</v>
      </c>
      <c r="C7" t="str">
        <v>FO</v>
      </c>
      <c r="D7" t="str">
        <v>¿Podés comer sin apuros durante tu jornada laboral?</v>
      </c>
      <c r="E7">
        <v>1</v>
      </c>
      <c r="F7">
        <v>0.7</v>
      </c>
      <c r="G7">
        <v>0</v>
      </c>
      <c r="H7">
        <v>1</v>
      </c>
      <c r="J7">
        <f>(I7/5)*E7*F7</f>
        <v>0</v>
      </c>
      <c r="K7">
        <f>J7*G7</f>
        <v>0</v>
      </c>
      <c r="L7">
        <f>J7*H7</f>
        <v>0</v>
      </c>
      <c r="M7">
        <f>E7*F7</f>
        <v>0.7</v>
      </c>
    </row>
    <row r="8">
      <c r="A8" t="str">
        <v>Emocional</v>
      </c>
      <c r="B8" t="str">
        <v>Tensión mental/emocional</v>
      </c>
      <c r="C8" t="str">
        <v>RP</v>
      </c>
      <c r="D8" t="str">
        <v>¿Podés manejar el estrés diario sin sentirte desbordado/a?</v>
      </c>
      <c r="E8">
        <v>0.4</v>
      </c>
      <c r="F8">
        <v>0.9</v>
      </c>
      <c r="G8">
        <v>1</v>
      </c>
      <c r="H8">
        <v>0</v>
      </c>
      <c r="J8">
        <f>(I8/5)*E8*F8</f>
        <v>0</v>
      </c>
      <c r="K8">
        <f>J8*G8</f>
        <v>0</v>
      </c>
      <c r="L8">
        <f>J8*H8</f>
        <v>0</v>
      </c>
      <c r="M8">
        <f>E8*F8</f>
        <v>0.36000000000000004</v>
      </c>
    </row>
    <row r="9">
      <c r="A9" t="str">
        <v>Emocional</v>
      </c>
      <c r="B9" t="str">
        <v>Tensión mental/emocional</v>
      </c>
      <c r="C9" t="str">
        <v>FO</v>
      </c>
      <c r="D9" t="str">
        <v>¿Las exigencias del trabajo mantienen tu nivel de estrés en algo manejable?</v>
      </c>
      <c r="E9">
        <v>0.4</v>
      </c>
      <c r="F9">
        <v>0.9</v>
      </c>
      <c r="G9">
        <v>0</v>
      </c>
      <c r="H9">
        <v>1</v>
      </c>
      <c r="J9">
        <f>(I9/5)*E9*F9</f>
        <v>0</v>
      </c>
      <c r="K9">
        <f>J9*G9</f>
        <v>0</v>
      </c>
      <c r="L9">
        <f>J9*H9</f>
        <v>0</v>
      </c>
      <c r="M9">
        <f>E9*F9</f>
        <v>0.36000000000000004</v>
      </c>
    </row>
    <row r="10">
      <c r="A10" t="str">
        <v>Emocional</v>
      </c>
      <c r="B10" t="str">
        <v>Manejo emocional</v>
      </c>
      <c r="C10" t="str">
        <v>RP</v>
      </c>
      <c r="D10" t="str">
        <v>¿Lográs regular tus emociones en situaciones tensas?</v>
      </c>
      <c r="E10">
        <v>0.35</v>
      </c>
      <c r="F10">
        <v>0.85</v>
      </c>
      <c r="G10">
        <v>1</v>
      </c>
      <c r="H10">
        <v>0</v>
      </c>
      <c r="J10">
        <f>(I10/5)*E10*F10</f>
        <v>0</v>
      </c>
      <c r="K10">
        <f>J10*G10</f>
        <v>0</v>
      </c>
      <c r="L10">
        <f>J10*H10</f>
        <v>0</v>
      </c>
      <c r="M10">
        <f>E10*F10</f>
        <v>0.2975</v>
      </c>
    </row>
    <row r="11">
      <c r="A11" t="str">
        <v>Emocional</v>
      </c>
      <c r="B11" t="str">
        <v>Manejo emocional</v>
      </c>
      <c r="C11" t="str">
        <v>FO</v>
      </c>
      <c r="D11" t="str">
        <v>¿El ambiente laboral favorece un clima emocional saludable?</v>
      </c>
      <c r="E11">
        <v>0.35</v>
      </c>
      <c r="F11">
        <v>0.85</v>
      </c>
      <c r="G11">
        <v>0</v>
      </c>
      <c r="H11">
        <v>1</v>
      </c>
      <c r="J11">
        <f>(I11/5)*E11*F11</f>
        <v>0</v>
      </c>
      <c r="K11">
        <f>J11*G11</f>
        <v>0</v>
      </c>
      <c r="L11">
        <f>J11*H11</f>
        <v>0</v>
      </c>
      <c r="M11">
        <f>E11*F11</f>
        <v>0.2975</v>
      </c>
    </row>
    <row r="12">
      <c r="A12" t="str">
        <v>Emocional</v>
      </c>
      <c r="B12" t="str">
        <v>Satisfacción emocional</v>
      </c>
      <c r="C12" t="str">
        <v>RP</v>
      </c>
      <c r="D12" t="str">
        <v>¿Disfrutás al menos una parte de tu trabajo en el día a día?</v>
      </c>
      <c r="E12">
        <v>0.25</v>
      </c>
      <c r="F12">
        <v>0.7</v>
      </c>
      <c r="G12">
        <v>1</v>
      </c>
      <c r="H12">
        <v>0</v>
      </c>
      <c r="J12">
        <f>(I12/5)*E12*F12</f>
        <v>0</v>
      </c>
      <c r="K12">
        <f>J12*G12</f>
        <v>0</v>
      </c>
      <c r="L12">
        <f>J12*H12</f>
        <v>0</v>
      </c>
      <c r="M12">
        <f>E12*F12</f>
        <v>0.175</v>
      </c>
    </row>
    <row r="13">
      <c r="A13" t="str">
        <v>Emocional</v>
      </c>
      <c r="B13" t="str">
        <v>Satisfacción emocional</v>
      </c>
      <c r="C13" t="str">
        <v>FO</v>
      </c>
      <c r="D13" t="str">
        <v>¿El entorno laboral favorece experiencias positivas durante la jornada?</v>
      </c>
      <c r="E13">
        <v>0.25</v>
      </c>
      <c r="F13">
        <v>0.7</v>
      </c>
      <c r="G13">
        <v>0</v>
      </c>
      <c r="H13">
        <v>1</v>
      </c>
      <c r="J13">
        <f>(I13/5)*E13*F13</f>
        <v>0</v>
      </c>
      <c r="K13">
        <f>J13*G13</f>
        <v>0</v>
      </c>
      <c r="L13">
        <f>J13*H13</f>
        <v>0</v>
      </c>
      <c r="M13">
        <f>E13*F13</f>
        <v>0.175</v>
      </c>
    </row>
    <row r="14">
      <c r="A14" t="str">
        <v>Social</v>
      </c>
      <c r="B14" t="str">
        <v>Vínculos sociales</v>
      </c>
      <c r="C14" t="str">
        <v>RP</v>
      </c>
      <c r="D14" t="str">
        <v>¿Te involucrás activamente para mantener relaciones positivas con tu equipo?</v>
      </c>
      <c r="E14">
        <v>0.55</v>
      </c>
      <c r="F14">
        <v>0.8</v>
      </c>
      <c r="G14">
        <v>1</v>
      </c>
      <c r="H14">
        <v>0</v>
      </c>
      <c r="J14">
        <f>(I14/5)*E14*F14</f>
        <v>0</v>
      </c>
      <c r="K14">
        <f>J14*G14</f>
        <v>0</v>
      </c>
      <c r="L14">
        <f>J14*H14</f>
        <v>0</v>
      </c>
      <c r="M14">
        <f>E14*F14</f>
        <v>0.44000000000000006</v>
      </c>
    </row>
    <row r="15">
      <c r="A15" t="str">
        <v>Social</v>
      </c>
      <c r="B15" t="str">
        <v>Vínculos sociales</v>
      </c>
      <c r="C15" t="str">
        <v>FO</v>
      </c>
      <c r="D15" t="str">
        <v>¿Te sentís incluido/a y bien tratado/a por tu equipo?</v>
      </c>
      <c r="E15">
        <v>0.55</v>
      </c>
      <c r="F15">
        <v>0.8</v>
      </c>
      <c r="G15">
        <v>0</v>
      </c>
      <c r="H15">
        <v>1</v>
      </c>
      <c r="J15">
        <f>(I15/5)*E15*F15</f>
        <v>0</v>
      </c>
      <c r="K15">
        <f>J15*G15</f>
        <v>0</v>
      </c>
      <c r="L15">
        <f>J15*H15</f>
        <v>0</v>
      </c>
      <c r="M15">
        <f>E15*F15</f>
        <v>0.44000000000000006</v>
      </c>
    </row>
    <row r="16">
      <c r="A16" t="str">
        <v>Social</v>
      </c>
      <c r="B16" t="str">
        <v>Intercambio humano</v>
      </c>
      <c r="C16" t="str">
        <v>RP</v>
      </c>
      <c r="D16" t="str">
        <v>¿Pedís ayuda cuando realmente la necesitás?</v>
      </c>
      <c r="E16">
        <v>0.45</v>
      </c>
      <c r="F16">
        <v>0.7</v>
      </c>
      <c r="G16">
        <v>1</v>
      </c>
      <c r="H16">
        <v>0</v>
      </c>
      <c r="J16">
        <f>(I16/5)*E16*F16</f>
        <v>0</v>
      </c>
      <c r="K16">
        <f>J16*G16</f>
        <v>0</v>
      </c>
      <c r="L16">
        <f>J16*H16</f>
        <v>0</v>
      </c>
      <c r="M16">
        <f>E16*F16</f>
        <v>0.315</v>
      </c>
    </row>
    <row r="17">
      <c r="A17" t="str">
        <v>Social</v>
      </c>
      <c r="B17" t="str">
        <v>Intercambio humano</v>
      </c>
      <c r="C17" t="str">
        <v>FO</v>
      </c>
      <c r="D17" t="str">
        <v>¿Tus compañeros suelen brindarte apoyo cuando lo necesitás?</v>
      </c>
      <c r="E17">
        <v>0.45</v>
      </c>
      <c r="F17">
        <v>0.7</v>
      </c>
      <c r="G17">
        <v>0</v>
      </c>
      <c r="H17">
        <v>1</v>
      </c>
      <c r="J17">
        <f>(I17/5)*E17*F17</f>
        <v>0</v>
      </c>
      <c r="K17">
        <f>J17*G17</f>
        <v>0</v>
      </c>
      <c r="L17">
        <f>J17*H17</f>
        <v>0</v>
      </c>
      <c r="M17">
        <f>E17*F17</f>
        <v>0.315</v>
      </c>
    </row>
    <row r="18">
      <c r="A18" t="str">
        <v>Familiar</v>
      </c>
      <c r="B18" t="str">
        <v>Armonía trabajo–vida</v>
      </c>
      <c r="C18" t="str">
        <v>RP</v>
      </c>
      <c r="D18" t="str">
        <v>¿Lográs organizar tu vida personal sin que se vea afectada constantemente por el trabajo?</v>
      </c>
      <c r="E18">
        <v>0.6</v>
      </c>
      <c r="F18">
        <v>0.85</v>
      </c>
      <c r="G18">
        <v>1</v>
      </c>
      <c r="H18">
        <v>0</v>
      </c>
      <c r="J18">
        <f>(I18/5)*E18*F18</f>
        <v>0</v>
      </c>
      <c r="K18">
        <f>J18*G18</f>
        <v>0</v>
      </c>
      <c r="L18">
        <f>J18*H18</f>
        <v>0</v>
      </c>
      <c r="M18">
        <f>E18*F18</f>
        <v>0.51</v>
      </c>
    </row>
    <row r="19">
      <c r="A19" t="str">
        <v>Familiar</v>
      </c>
      <c r="B19" t="str">
        <v>Armonía trabajo–vida</v>
      </c>
      <c r="C19" t="str">
        <v>FO</v>
      </c>
      <c r="D19" t="str">
        <v>¿La empresa respeta tus horarios y límites personales fuera del trabajo?</v>
      </c>
      <c r="E19">
        <v>0.6</v>
      </c>
      <c r="F19">
        <v>0.85</v>
      </c>
      <c r="G19">
        <v>0</v>
      </c>
      <c r="H19">
        <v>1</v>
      </c>
      <c r="J19">
        <f>(I19/5)*E19*F19</f>
        <v>0</v>
      </c>
      <c r="K19">
        <f>J19*G19</f>
        <v>0</v>
      </c>
      <c r="L19">
        <f>J19*H19</f>
        <v>0</v>
      </c>
      <c r="M19">
        <f>E19*F19</f>
        <v>0.51</v>
      </c>
    </row>
    <row r="20">
      <c r="A20" t="str">
        <v>Familiar</v>
      </c>
      <c r="B20" t="str">
        <v>Soporte del entorno</v>
      </c>
      <c r="C20" t="str">
        <v>RP</v>
      </c>
      <c r="D20" t="str">
        <v>¿Sentís apoyo de tu entorno para cumplir tus responsabilidades laborales?</v>
      </c>
      <c r="E20">
        <v>0.4</v>
      </c>
      <c r="F20">
        <v>0.7</v>
      </c>
      <c r="G20">
        <v>1</v>
      </c>
      <c r="H20">
        <v>0</v>
      </c>
      <c r="J20">
        <f>(I20/5)*E20*F20</f>
        <v>0</v>
      </c>
      <c r="K20">
        <f>J20*G20</f>
        <v>0</v>
      </c>
      <c r="L20">
        <f>J20*H20</f>
        <v>0</v>
      </c>
      <c r="M20">
        <f>E20*F20</f>
        <v>0.27999999999999997</v>
      </c>
    </row>
    <row r="21">
      <c r="A21" t="str">
        <v>Familiar</v>
      </c>
      <c r="B21" t="str">
        <v>Soporte del entorno</v>
      </c>
      <c r="C21" t="str">
        <v>FO</v>
      </c>
      <c r="D21" t="str">
        <v>¿La empresa comprende y acompaña situaciones personales cuando es necesario?</v>
      </c>
      <c r="E21">
        <v>0.4</v>
      </c>
      <c r="F21">
        <v>0.7</v>
      </c>
      <c r="G21">
        <v>0</v>
      </c>
      <c r="H21">
        <v>1</v>
      </c>
      <c r="J21">
        <f>(I21/5)*E21*F21</f>
        <v>0</v>
      </c>
      <c r="K21">
        <f>J21*G21</f>
        <v>0</v>
      </c>
      <c r="L21">
        <f>J21*H21</f>
        <v>0</v>
      </c>
      <c r="M21">
        <f>E21*F21</f>
        <v>0.27999999999999997</v>
      </c>
    </row>
    <row r="22">
      <c r="A22" t="str">
        <v>Económico</v>
      </c>
      <c r="B22" t="str">
        <v>Seguridad económica</v>
      </c>
      <c r="C22" t="str">
        <v>RP</v>
      </c>
      <c r="D22" t="str">
        <v>¿Sentís tranquilidad en cómo manejás tus finanzas personales?</v>
      </c>
      <c r="E22">
        <v>0.6</v>
      </c>
      <c r="F22">
        <v>0.85</v>
      </c>
      <c r="G22">
        <v>1</v>
      </c>
      <c r="H22">
        <v>0</v>
      </c>
      <c r="J22">
        <f>(I22/5)*E22*F22</f>
        <v>0</v>
      </c>
      <c r="K22">
        <f>J22*G22</f>
        <v>0</v>
      </c>
      <c r="L22">
        <f>J22*H22</f>
        <v>0</v>
      </c>
      <c r="M22">
        <f>E22*F22</f>
        <v>0.51</v>
      </c>
    </row>
    <row r="23">
      <c r="A23" t="str">
        <v>Económico</v>
      </c>
      <c r="B23" t="str">
        <v>Seguridad económica</v>
      </c>
      <c r="C23" t="str">
        <v>FO</v>
      </c>
      <c r="D23" t="str">
        <v>¿La estabilidad de tu ingreso te permite sentir tranquilidad mes a mes?</v>
      </c>
      <c r="E23">
        <v>0.6</v>
      </c>
      <c r="F23">
        <v>0.85</v>
      </c>
      <c r="G23">
        <v>0</v>
      </c>
      <c r="H23">
        <v>1</v>
      </c>
      <c r="J23">
        <f>(I23/5)*E23*F23</f>
        <v>0</v>
      </c>
      <c r="K23">
        <f>J23*G23</f>
        <v>0</v>
      </c>
      <c r="L23">
        <f>J23*H23</f>
        <v>0</v>
      </c>
      <c r="M23">
        <f>E23*F23</f>
        <v>0.51</v>
      </c>
    </row>
    <row r="24">
      <c r="A24" t="str">
        <v>Económico</v>
      </c>
      <c r="B24" t="str">
        <v>Gestión económica personal</v>
      </c>
      <c r="C24" t="str">
        <v>RP</v>
      </c>
      <c r="D24" t="str">
        <v>¿Tenés tus finanzas personales organizadas de manera clara?</v>
      </c>
      <c r="E24">
        <v>0.4</v>
      </c>
      <c r="F24">
        <v>0.8</v>
      </c>
      <c r="G24">
        <v>1</v>
      </c>
      <c r="H24">
        <v>0</v>
      </c>
      <c r="J24">
        <f>(I24/5)*E24*F24</f>
        <v>0</v>
      </c>
      <c r="K24">
        <f>J24*G24</f>
        <v>0</v>
      </c>
      <c r="L24">
        <f>J24*H24</f>
        <v>0</v>
      </c>
      <c r="M24">
        <f>E24*F24</f>
        <v>0.32000000000000006</v>
      </c>
    </row>
    <row r="25">
      <c r="A25" t="str">
        <v>Económico</v>
      </c>
      <c r="B25" t="str">
        <v>Gestión económica personal</v>
      </c>
      <c r="C25" t="str">
        <v>FO</v>
      </c>
      <c r="D25" t="str">
        <v>¿Recibís tu información salarial de forma clara y confiable?</v>
      </c>
      <c r="E25">
        <v>0.4</v>
      </c>
      <c r="F25">
        <v>0.8</v>
      </c>
      <c r="G25">
        <v>0</v>
      </c>
      <c r="H25">
        <v>1</v>
      </c>
      <c r="J25">
        <f>(I25/5)*E25*F25</f>
        <v>0</v>
      </c>
      <c r="K25">
        <f>J25*G25</f>
        <v>0</v>
      </c>
      <c r="L25">
        <f>J25*H25</f>
        <v>0</v>
      </c>
      <c r="M25">
        <f>E25*F25</f>
        <v>0.32000000000000006</v>
      </c>
    </row>
  </sheetData>
  <pageMargins left="0.75" right="0.75" top="1" bottom="1" header="0.5" footer="0.5"/>
  <ignoredErrors>
    <ignoredError numberStoredAsText="1" sqref="A1:M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Indicador</v>
      </c>
      <c r="B1" t="str">
        <v>Valor</v>
      </c>
      <c r="C1" t="str">
        <v>Valor_%</v>
      </c>
      <c r="D1" t="str">
        <v>Interpretación</v>
      </c>
    </row>
    <row r="2">
      <c r="A2" t="str">
        <v>Índice Personal Global</v>
      </c>
      <c r="B2">
        <f>Índices!B2</f>
        <v>0</v>
      </c>
      <c r="C2">
        <f>Índices!C2</f>
        <v>0</v>
      </c>
      <c r="D2" t="str">
        <f>IF(Índices!B2&lt;2,"Crítico",IF(Índices!B2&lt;3,"En riesgo",IF(Índices!B2&lt;4,"Aceptable","Saludable")))</f>
        <v>Crítico</v>
      </c>
    </row>
    <row r="3">
      <c r="A3" t="str">
        <v>Índice Organizacional Global</v>
      </c>
      <c r="B3">
        <f>Índices!B3</f>
        <v>0</v>
      </c>
      <c r="C3">
        <f>Índices!C3</f>
        <v>0</v>
      </c>
      <c r="D3" t="str">
        <f>IF(Índices!B3&lt;2,"Crítico",IF(Índices!B3&lt;3,"En riesgo",IF(Índices!B3&lt;4,"Aceptable","Saludable")))</f>
        <v>Crítico</v>
      </c>
    </row>
    <row r="4">
      <c r="A4" t="str">
        <v>Índice General de Bienestar</v>
      </c>
      <c r="B4">
        <f>Índices!B4</f>
        <v>0</v>
      </c>
      <c r="C4">
        <f>Índices!C4</f>
        <v>0</v>
      </c>
      <c r="D4" t="str">
        <f>IF(Índices!B4&lt;2,"Crítico",IF(Índices!B4&lt;3,"En riesgo",IF(Índices!B4&lt;4,"Aceptable","Saludable")))</f>
        <v>Crítico</v>
      </c>
    </row>
    <row r="6">
      <c r="A6" t="str">
        <v>Resumen Automático</v>
      </c>
      <c r="B6" t="str">
        <v>Texto</v>
      </c>
    </row>
    <row r="7">
      <c r="A7" t="str">
        <v>Conclusión General</v>
      </c>
      <c r="B7" t="str">
        <f>IF(Índices!B4&lt;2,"El bienestar general es CRÍTICO y requiere intervención inmediata.",IF(Índices!B4&lt;3,"El bienestar general presenta RIESGOS que deben priorizarse en el plan de acción.",IF(Índices!B4&lt;4,"El bienestar general es ACEPTABLE, con oportunidades de mejora claras.","El bienestar general es SALUDABLE. Conviene sostener las prácticas actuales y capitalizar lo aprendido.")))</f>
        <v>El bienestar general es CRÍTICO y requiere intervención inmediata.</v>
      </c>
    </row>
  </sheetData>
  <pageMargins left="0.75" right="0.75" top="1" bottom="1" header="0.5" footer="0.5"/>
  <ignoredErrors>
    <ignoredError numberStoredAsText="1" sqref="A1:D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Índice</v>
      </c>
      <c r="B1" t="str">
        <v>Valor</v>
      </c>
      <c r="C1" t="str">
        <v>Valor_%</v>
      </c>
      <c r="D1" t="str">
        <v>Descripción</v>
      </c>
    </row>
    <row r="2">
      <c r="A2" t="str">
        <v>IP_global</v>
      </c>
      <c r="B2">
        <f>5*SUM(Respuestas!K2:K25)/SUMIFS(Respuestas!M2:M25,Respuestas!G2:G25,1)</f>
        <v>0</v>
      </c>
      <c r="C2">
        <f>B2/5*100</f>
        <v>0</v>
      </c>
      <c r="D2" t="str">
        <v>Índice Personal Global (0–5)</v>
      </c>
    </row>
    <row r="3">
      <c r="A3" t="str">
        <v>IO_global</v>
      </c>
      <c r="B3">
        <f>5*SUM(Respuestas!L2:L25)/SUMIFS(Respuestas!M2:M25,Respuestas!H2:H25,1)</f>
        <v>0</v>
      </c>
      <c r="C3">
        <f>B3/5*100</f>
        <v>0</v>
      </c>
      <c r="D3" t="str">
        <v>Índice Organizacional Global (0–5)</v>
      </c>
    </row>
    <row r="4">
      <c r="A4" t="str">
        <v>IGB_global</v>
      </c>
      <c r="B4">
        <f>(B2+B3)/2</f>
        <v>0</v>
      </c>
      <c r="C4">
        <f>B4/5*100</f>
        <v>0</v>
      </c>
      <c r="D4" t="str">
        <v>Índice General de Bienestar (0–5)</v>
      </c>
    </row>
    <row r="6">
      <c r="A6" t="str">
        <v>Dominio</v>
      </c>
      <c r="B6" t="str">
        <v>IP_dom</v>
      </c>
      <c r="C6" t="str">
        <v>IP_dom_%</v>
      </c>
      <c r="D6" t="str">
        <v>IO_dom</v>
      </c>
      <c r="E6" t="str">
        <v>IO_dom_%</v>
      </c>
      <c r="F6" t="str">
        <v>IGB_dom</v>
      </c>
      <c r="G6" t="str">
        <v>IGB_dom_%</v>
      </c>
      <c r="H6" t="str">
        <v>Descripción</v>
      </c>
    </row>
    <row r="7">
      <c r="A7" t="str">
        <v>Físico</v>
      </c>
      <c r="B7">
        <f>5*SUMIFS(Respuestas!K2:K25,Respuestas!A2:A25,"Físico")/SUMIFS(Respuestas!M2:M25,Respuestas!A2:A25,"Físico",Respuestas!G2:G25,1)</f>
        <v>0</v>
      </c>
      <c r="C7">
        <f>B7/5*100</f>
        <v>0</v>
      </c>
      <c r="D7">
        <f>5*SUMIFS(Respuestas!L2:L25,Respuestas!A2:A25,"Físico")/SUMIFS(Respuestas!M2:M25,Respuestas!A2:A25,"Físico",Respuestas!H2:H25,1)</f>
        <v>0</v>
      </c>
      <c r="E7">
        <f>D7/5*100</f>
        <v>0</v>
      </c>
      <c r="F7">
        <f>(B7+D7)/2</f>
        <v>0</v>
      </c>
      <c r="G7">
        <f>F7/5*100</f>
        <v>0</v>
      </c>
      <c r="H7" t="str">
        <v>Índices del dominio Físico (0–5)</v>
      </c>
    </row>
    <row r="8">
      <c r="A8" t="str">
        <v>Nutricional</v>
      </c>
      <c r="B8">
        <f>5*SUMIFS(Respuestas!K2:K25,Respuestas!A2:A25,"Nutricional")/SUMIFS(Respuestas!M2:M25,Respuestas!A2:A25,"Nutricional",Respuestas!G2:G25,1)</f>
        <v>0</v>
      </c>
      <c r="C8">
        <f>B8/5*100</f>
        <v>0</v>
      </c>
      <c r="D8">
        <f>5*SUMIFS(Respuestas!L2:L25,Respuestas!A2:A25,"Nutricional")/SUMIFS(Respuestas!M2:M25,Respuestas!A2:A25,"Nutricional",Respuestas!H2:H25,1)</f>
        <v>0</v>
      </c>
      <c r="E8">
        <f>D8/5*100</f>
        <v>0</v>
      </c>
      <c r="F8">
        <f>(B8+D8)/2</f>
        <v>0</v>
      </c>
      <c r="G8">
        <f>F8/5*100</f>
        <v>0</v>
      </c>
      <c r="H8" t="str">
        <v>Índices del dominio Nutricional (0–5)</v>
      </c>
    </row>
    <row r="9">
      <c r="A9" t="str">
        <v>Emocional</v>
      </c>
      <c r="B9">
        <f>5*SUMIFS(Respuestas!K2:K25,Respuestas!A2:A25,"Emocional")/SUMIFS(Respuestas!M2:M25,Respuestas!A2:A25,"Emocional",Respuestas!G2:G25,1)</f>
        <v>0</v>
      </c>
      <c r="C9">
        <f>B9/5*100</f>
        <v>0</v>
      </c>
      <c r="D9">
        <f>5*SUMIFS(Respuestas!L2:L25,Respuestas!A2:A25,"Emocional")/SUMIFS(Respuestas!M2:M25,Respuestas!A2:A25,"Emocional",Respuestas!H2:H25,1)</f>
        <v>0</v>
      </c>
      <c r="E9">
        <f>D9/5*100</f>
        <v>0</v>
      </c>
      <c r="F9">
        <f>(B9+D9)/2</f>
        <v>0</v>
      </c>
      <c r="G9">
        <f>F9/5*100</f>
        <v>0</v>
      </c>
      <c r="H9" t="str">
        <v>Índices del dominio Emocional (0–5)</v>
      </c>
    </row>
    <row r="10">
      <c r="A10" t="str">
        <v>Social</v>
      </c>
      <c r="B10">
        <f>5*SUMIFS(Respuestas!K2:K25,Respuestas!A2:A25,"Social")/SUMIFS(Respuestas!M2:M25,Respuestas!A2:A25,"Social",Respuestas!G2:G25,1)</f>
        <v>0</v>
      </c>
      <c r="C10">
        <f>B10/5*100</f>
        <v>0</v>
      </c>
      <c r="D10">
        <f>5*SUMIFS(Respuestas!L2:L25,Respuestas!A2:A25,"Social")/SUMIFS(Respuestas!M2:M25,Respuestas!A2:A25,"Social",Respuestas!H2:H25,1)</f>
        <v>0</v>
      </c>
      <c r="E10">
        <f>D10/5*100</f>
        <v>0</v>
      </c>
      <c r="F10">
        <f>(B10+D10)/2</f>
        <v>0</v>
      </c>
      <c r="G10">
        <f>F10/5*100</f>
        <v>0</v>
      </c>
      <c r="H10" t="str">
        <v>Índices del dominio Social (0–5)</v>
      </c>
    </row>
    <row r="11">
      <c r="A11" t="str">
        <v>Familiar</v>
      </c>
      <c r="B11">
        <f>5*SUMIFS(Respuestas!K2:K25,Respuestas!A2:A25,"Familiar")/SUMIFS(Respuestas!M2:M25,Respuestas!A2:A25,"Familiar",Respuestas!G2:G25,1)</f>
        <v>0</v>
      </c>
      <c r="C11">
        <f>B11/5*100</f>
        <v>0</v>
      </c>
      <c r="D11">
        <f>5*SUMIFS(Respuestas!L2:L25,Respuestas!A2:A25,"Familiar")/SUMIFS(Respuestas!M2:M25,Respuestas!A2:A25,"Familiar",Respuestas!H2:H25,1)</f>
        <v>0</v>
      </c>
      <c r="E11">
        <f>D11/5*100</f>
        <v>0</v>
      </c>
      <c r="F11">
        <f>(B11+D11)/2</f>
        <v>0</v>
      </c>
      <c r="G11">
        <f>F11/5*100</f>
        <v>0</v>
      </c>
      <c r="H11" t="str">
        <v>Índices del dominio Familiar (0–5)</v>
      </c>
    </row>
    <row r="12">
      <c r="A12" t="str">
        <v>Económico</v>
      </c>
      <c r="B12">
        <f>5*SUMIFS(Respuestas!K2:K25,Respuestas!A2:A25,"Económico")/SUMIFS(Respuestas!M2:M25,Respuestas!A2:A25,"Económico",Respuestas!G2:G25,1)</f>
        <v>0</v>
      </c>
      <c r="C12">
        <f>B12/5*100</f>
        <v>0</v>
      </c>
      <c r="D12">
        <f>5*SUMIFS(Respuestas!L2:L25,Respuestas!A2:A25,"Económico")/SUMIFS(Respuestas!M2:M25,Respuestas!A2:A25,"Económico",Respuestas!H2:H25,1)</f>
        <v>0</v>
      </c>
      <c r="E12">
        <f>D12/5*100</f>
        <v>0</v>
      </c>
      <c r="F12">
        <f>(B12+D12)/2</f>
        <v>0</v>
      </c>
      <c r="G12">
        <f>F12/5*100</f>
        <v>0</v>
      </c>
      <c r="H12" t="str">
        <v>Índices del dominio Económico (0–5)</v>
      </c>
    </row>
  </sheetData>
  <pageMargins left="0.75" right="0.75" top="1" bottom="1" header="0.5" footer="0.5"/>
  <ignoredErrors>
    <ignoredError numberStoredAsText="1" sqref="A1:H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Sev_code</v>
      </c>
      <c r="B1" t="str">
        <v>Texto_dominio</v>
      </c>
      <c r="C1" t="str">
        <v>Texto_recomendacion</v>
      </c>
      <c r="D1" t="str">
        <v>Brecha_code</v>
      </c>
      <c r="E1" t="str">
        <v>Texto_brecha</v>
      </c>
    </row>
    <row r="2">
      <c r="A2">
        <v>1</v>
      </c>
      <c r="B2" t="str">
        <v>se encuentra en un nivel CRÍTICO y requiere atención inmediata.</v>
      </c>
      <c r="C2" t="str">
        <v>Definir e implementar un plan de acción urgente con medidas concretas, responsables y seguimiento cercano.</v>
      </c>
      <c r="D2">
        <v>-1</v>
      </c>
      <c r="E2" t="str">
        <v>Los hábitos y recursos personales están por debajo de las condiciones que ofrece la organización. Conviene trabajar primero en autocuidado, hábitos y conciencia personal en este dominio.</v>
      </c>
    </row>
    <row r="3">
      <c r="A3">
        <v>2</v>
      </c>
      <c r="B3" t="str">
        <v>presenta RIESGOS que no pueden ignorarse.</v>
      </c>
      <c r="C3" t="str">
        <v>Diseñar acciones de mejora para los próximos 90 días, priorizando este dominio en la planificación.</v>
      </c>
      <c r="D3">
        <v>0</v>
      </c>
      <c r="E3" t="str">
        <v>No se observa una brecha marcada entre lo personal y lo organizacional. Es un dominio que requiere mejoras integradas (persona–organización).</v>
      </c>
    </row>
    <row r="4">
      <c r="A4">
        <v>3</v>
      </c>
      <c r="B4" t="str">
        <v>se encuentra en un nivel ACEPTABLE, con oportunidades claras de mejora.</v>
      </c>
      <c r="C4" t="str">
        <v>Mantener el nivel actual e incorporar acciones puntuales para fortalecer los aspectos más débiles.</v>
      </c>
      <c r="D4">
        <v>1</v>
      </c>
      <c r="E4" t="str">
        <v>Los hábitos personales están relativamente mejor que el contexto organizacional. Es necesario revisar prácticas, procesos, liderazgo o condiciones laborales en este dominio.</v>
      </c>
    </row>
    <row r="5">
      <c r="A5">
        <v>4</v>
      </c>
      <c r="B5" t="str">
        <v>se encuentra en un nivel SALUDABLE.</v>
      </c>
      <c r="C5" t="str">
        <v>Sostener las prácticas actuales y documentarlas como buenas prácticas para otras áreas o equipos.</v>
      </c>
    </row>
  </sheetData>
  <pageMargins left="0.75" right="0.75" top="1" bottom="1" header="0.5" footer="0.5"/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Dominio</v>
      </c>
      <c r="B1" t="str">
        <v>IGB_dom</v>
      </c>
      <c r="C1" t="str">
        <v>Sev_code</v>
      </c>
      <c r="D1" t="str">
        <v>Recomendación</v>
      </c>
    </row>
    <row r="2">
      <c r="A2" t="str">
        <v>Físico</v>
      </c>
      <c r="B2">
        <f>Conclusiones!D2</f>
        <v>0</v>
      </c>
      <c r="C2">
        <f>Conclusiones!E2</f>
        <v>1</v>
      </c>
      <c r="D2" t="str">
        <f>Conclusiones!I2</f>
        <v>Definir e implementar un plan de acción urgente con medidas concretas, responsables y seguimiento cercano.</v>
      </c>
    </row>
    <row r="3">
      <c r="A3" t="str">
        <v>Nutricional</v>
      </c>
      <c r="B3">
        <f>Conclusiones!D3</f>
        <v>0</v>
      </c>
      <c r="C3">
        <f>Conclusiones!E3</f>
        <v>1</v>
      </c>
      <c r="D3" t="str">
        <f>Conclusiones!I3</f>
        <v>Definir e implementar un plan de acción urgente con medidas concretas, responsables y seguimiento cercano.</v>
      </c>
    </row>
    <row r="4">
      <c r="A4" t="str">
        <v>Emocional</v>
      </c>
      <c r="B4">
        <f>Conclusiones!D4</f>
        <v>0</v>
      </c>
      <c r="C4">
        <f>Conclusiones!E4</f>
        <v>1</v>
      </c>
      <c r="D4" t="str">
        <f>Conclusiones!I4</f>
        <v>Definir e implementar un plan de acción urgente con medidas concretas, responsables y seguimiento cercano.</v>
      </c>
    </row>
    <row r="5">
      <c r="A5" t="str">
        <v>Social</v>
      </c>
      <c r="B5">
        <f>Conclusiones!D5</f>
        <v>0</v>
      </c>
      <c r="C5">
        <f>Conclusiones!E5</f>
        <v>1</v>
      </c>
      <c r="D5" t="str">
        <f>Conclusiones!I5</f>
        <v>Definir e implementar un plan de acción urgente con medidas concretas, responsables y seguimiento cercano.</v>
      </c>
    </row>
    <row r="6">
      <c r="A6" t="str">
        <v>Familiar</v>
      </c>
      <c r="B6">
        <f>Conclusiones!D6</f>
        <v>0</v>
      </c>
      <c r="C6">
        <f>Conclusiones!E6</f>
        <v>1</v>
      </c>
      <c r="D6" t="str">
        <f>Conclusiones!I6</f>
        <v>Definir e implementar un plan de acción urgente con medidas concretas, responsables y seguimiento cercano.</v>
      </c>
    </row>
    <row r="7">
      <c r="A7" t="str">
        <v>Económico</v>
      </c>
      <c r="B7">
        <f>Conclusiones!D7</f>
        <v>0</v>
      </c>
      <c r="C7">
        <f>Conclusiones!E7</f>
        <v>1</v>
      </c>
      <c r="D7" t="str">
        <f>Conclusiones!I7</f>
        <v>Definir e implementar un plan de acción urgente con medidas concretas, responsables y seguimiento cercano.</v>
      </c>
    </row>
  </sheetData>
  <pageMargins left="0.75" right="0.75" top="1" bottom="1" header="0.5" footer="0.5"/>
  <ignoredErrors>
    <ignoredError numberStoredAsText="1" sqref="A1:D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Dominio</v>
      </c>
      <c r="B1" t="str">
        <v>IP_dom</v>
      </c>
      <c r="C1" t="str">
        <v>IO_dom</v>
      </c>
      <c r="D1" t="str">
        <v>IGB_dom</v>
      </c>
      <c r="E1" t="str">
        <v>Sev_code</v>
      </c>
      <c r="F1" t="str">
        <v>Brecha_code</v>
      </c>
      <c r="G1" t="str">
        <v>Conclusión</v>
      </c>
      <c r="H1" t="str">
        <v>Insight_RP_vs_FO</v>
      </c>
      <c r="I1" t="str">
        <v>Recomendación</v>
      </c>
    </row>
    <row r="2">
      <c r="A2" t="str">
        <v>Físico</v>
      </c>
      <c r="B2">
        <f>INDEX(Índices!B:B,MATCH(A2,Índices!A:A,0))</f>
        <v>0</v>
      </c>
      <c r="C2">
        <f>INDEX(Índices!D:D,MATCH(A2,Índices!A:A,0))</f>
        <v>0</v>
      </c>
      <c r="D2">
        <f>INDEX(Índices!F:F,MATCH(A2,Índices!A:A,0))</f>
        <v>0</v>
      </c>
      <c r="E2">
        <f>IF(D2&lt;2,1,IF(D2&lt;3,2,IF(D2&lt;4,3,4)))</f>
        <v>1</v>
      </c>
      <c r="F2">
        <f>IF(B2&lt;C2-0.5,-1,IF(C2&lt;B2-0.5,1,0))</f>
        <v>0</v>
      </c>
      <c r="G2" t="str">
        <f>"En el dominio "&amp;A2&amp;", "&amp;INDEX(Mensajes!B:B,MATCH(E2,Mensajes!A:A,0))</f>
        <v>En el dominio Físico, se encuentra en un nivel CRÍTICO y requiere atención inmediata.</v>
      </c>
      <c r="H2" t="str">
        <f>INDEX(Mensajes!E:E,MATCH(F2,Mensajes!D:D,0))</f>
        <v>No se observa una brecha marcada entre lo personal y lo organizacional. Es un dominio que requiere mejoras integradas (persona–organización).</v>
      </c>
      <c r="I2" t="str">
        <f>INDEX(Mensajes!C:C,MATCH(E2,Mensajes!A:A,0))</f>
        <v>Definir e implementar un plan de acción urgente con medidas concretas, responsables y seguimiento cercano.</v>
      </c>
    </row>
    <row r="3">
      <c r="A3" t="str">
        <v>Nutricional</v>
      </c>
      <c r="B3">
        <f>INDEX(Índices!B:B,MATCH(A3,Índices!A:A,0))</f>
        <v>0</v>
      </c>
      <c r="C3">
        <f>INDEX(Índices!D:D,MATCH(A3,Índices!A:A,0))</f>
        <v>0</v>
      </c>
      <c r="D3">
        <f>INDEX(Índices!F:F,MATCH(A3,Índices!A:A,0))</f>
        <v>0</v>
      </c>
      <c r="E3">
        <f>IF(D3&lt;2,1,IF(D3&lt;3,2,IF(D3&lt;4,3,4)))</f>
        <v>1</v>
      </c>
      <c r="F3">
        <f>IF(B3&lt;C3-0.5,-1,IF(C3&lt;B3-0.5,1,0))</f>
        <v>0</v>
      </c>
      <c r="G3" t="str">
        <f>"En el dominio "&amp;A3&amp;", "&amp;INDEX(Mensajes!B:B,MATCH(E3,Mensajes!A:A,0))</f>
        <v>En el dominio Nutricional, se encuentra en un nivel CRÍTICO y requiere atención inmediata.</v>
      </c>
      <c r="H3" t="str">
        <f>INDEX(Mensajes!E:E,MATCH(F3,Mensajes!D:D,0))</f>
        <v>No se observa una brecha marcada entre lo personal y lo organizacional. Es un dominio que requiere mejoras integradas (persona–organización).</v>
      </c>
      <c r="I3" t="str">
        <f>INDEX(Mensajes!C:C,MATCH(E3,Mensajes!A:A,0))</f>
        <v>Definir e implementar un plan de acción urgente con medidas concretas, responsables y seguimiento cercano.</v>
      </c>
    </row>
    <row r="4">
      <c r="A4" t="str">
        <v>Emocional</v>
      </c>
      <c r="B4">
        <f>INDEX(Índices!B:B,MATCH(A4,Índices!A:A,0))</f>
        <v>0</v>
      </c>
      <c r="C4">
        <f>INDEX(Índices!D:D,MATCH(A4,Índices!A:A,0))</f>
        <v>0</v>
      </c>
      <c r="D4">
        <f>INDEX(Índices!F:F,MATCH(A4,Índices!A:A,0))</f>
        <v>0</v>
      </c>
      <c r="E4">
        <f>IF(D4&lt;2,1,IF(D4&lt;3,2,IF(D4&lt;4,3,4)))</f>
        <v>1</v>
      </c>
      <c r="F4">
        <f>IF(B4&lt;C4-0.5,-1,IF(C4&lt;B4-0.5,1,0))</f>
        <v>0</v>
      </c>
      <c r="G4" t="str">
        <f>"En el dominio "&amp;A4&amp;", "&amp;INDEX(Mensajes!B:B,MATCH(E4,Mensajes!A:A,0))</f>
        <v>En el dominio Emocional, se encuentra en un nivel CRÍTICO y requiere atención inmediata.</v>
      </c>
      <c r="H4" t="str">
        <f>INDEX(Mensajes!E:E,MATCH(F4,Mensajes!D:D,0))</f>
        <v>No se observa una brecha marcada entre lo personal y lo organizacional. Es un dominio que requiere mejoras integradas (persona–organización).</v>
      </c>
      <c r="I4" t="str">
        <f>INDEX(Mensajes!C:C,MATCH(E4,Mensajes!A:A,0))</f>
        <v>Definir e implementar un plan de acción urgente con medidas concretas, responsables y seguimiento cercano.</v>
      </c>
    </row>
    <row r="5">
      <c r="A5" t="str">
        <v>Social</v>
      </c>
      <c r="B5">
        <f>INDEX(Índices!B:B,MATCH(A5,Índices!A:A,0))</f>
        <v>0</v>
      </c>
      <c r="C5">
        <f>INDEX(Índices!D:D,MATCH(A5,Índices!A:A,0))</f>
        <v>0</v>
      </c>
      <c r="D5">
        <f>INDEX(Índices!F:F,MATCH(A5,Índices!A:A,0))</f>
        <v>0</v>
      </c>
      <c r="E5">
        <f>IF(D5&lt;2,1,IF(D5&lt;3,2,IF(D5&lt;4,3,4)))</f>
        <v>1</v>
      </c>
      <c r="F5">
        <f>IF(B5&lt;C5-0.5,-1,IF(C5&lt;B5-0.5,1,0))</f>
        <v>0</v>
      </c>
      <c r="G5" t="str">
        <f>"En el dominio "&amp;A5&amp;", "&amp;INDEX(Mensajes!B:B,MATCH(E5,Mensajes!A:A,0))</f>
        <v>En el dominio Social, se encuentra en un nivel CRÍTICO y requiere atención inmediata.</v>
      </c>
      <c r="H5" t="str">
        <f>INDEX(Mensajes!E:E,MATCH(F5,Mensajes!D:D,0))</f>
        <v>No se observa una brecha marcada entre lo personal y lo organizacional. Es un dominio que requiere mejoras integradas (persona–organización).</v>
      </c>
      <c r="I5" t="str">
        <f>INDEX(Mensajes!C:C,MATCH(E5,Mensajes!A:A,0))</f>
        <v>Definir e implementar un plan de acción urgente con medidas concretas, responsables y seguimiento cercano.</v>
      </c>
    </row>
    <row r="6">
      <c r="A6" t="str">
        <v>Familiar</v>
      </c>
      <c r="B6">
        <f>INDEX(Índices!B:B,MATCH(A6,Índices!A:A,0))</f>
        <v>0</v>
      </c>
      <c r="C6">
        <f>INDEX(Índices!D:D,MATCH(A6,Índices!A:A,0))</f>
        <v>0</v>
      </c>
      <c r="D6">
        <f>INDEX(Índices!F:F,MATCH(A6,Índices!A:A,0))</f>
        <v>0</v>
      </c>
      <c r="E6">
        <f>IF(D6&lt;2,1,IF(D6&lt;3,2,IF(D6&lt;4,3,4)))</f>
        <v>1</v>
      </c>
      <c r="F6">
        <f>IF(B6&lt;C6-0.5,-1,IF(C6&lt;B6-0.5,1,0))</f>
        <v>0</v>
      </c>
      <c r="G6" t="str">
        <f>"En el dominio "&amp;A6&amp;", "&amp;INDEX(Mensajes!B:B,MATCH(E6,Mensajes!A:A,0))</f>
        <v>En el dominio Familiar, se encuentra en un nivel CRÍTICO y requiere atención inmediata.</v>
      </c>
      <c r="H6" t="str">
        <f>INDEX(Mensajes!E:E,MATCH(F6,Mensajes!D:D,0))</f>
        <v>No se observa una brecha marcada entre lo personal y lo organizacional. Es un dominio que requiere mejoras integradas (persona–organización).</v>
      </c>
      <c r="I6" t="str">
        <f>INDEX(Mensajes!C:C,MATCH(E6,Mensajes!A:A,0))</f>
        <v>Definir e implementar un plan de acción urgente con medidas concretas, responsables y seguimiento cercano.</v>
      </c>
    </row>
    <row r="7">
      <c r="A7" t="str">
        <v>Económico</v>
      </c>
      <c r="B7">
        <f>INDEX(Índices!B:B,MATCH(A7,Índices!A:A,0))</f>
        <v>0</v>
      </c>
      <c r="C7">
        <f>INDEX(Índices!D:D,MATCH(A7,Índices!A:A,0))</f>
        <v>0</v>
      </c>
      <c r="D7">
        <f>INDEX(Índices!F:F,MATCH(A7,Índices!A:A,0))</f>
        <v>0</v>
      </c>
      <c r="E7">
        <f>IF(D7&lt;2,1,IF(D7&lt;3,2,IF(D7&lt;4,3,4)))</f>
        <v>1</v>
      </c>
      <c r="F7">
        <f>IF(B7&lt;C7-0.5,-1,IF(C7&lt;B7-0.5,1,0))</f>
        <v>0</v>
      </c>
      <c r="G7" t="str">
        <f>"En el dominio "&amp;A7&amp;", "&amp;INDEX(Mensajes!B:B,MATCH(E7,Mensajes!A:A,0))</f>
        <v>En el dominio Económico, se encuentra en un nivel CRÍTICO y requiere atención inmediata.</v>
      </c>
      <c r="H7" t="str">
        <f>INDEX(Mensajes!E:E,MATCH(F7,Mensajes!D:D,0))</f>
        <v>No se observa una brecha marcada entre lo personal y lo organizacional. Es un dominio que requiere mejoras integradas (persona–organización).</v>
      </c>
      <c r="I7" t="str">
        <f>INDEX(Mensajes!C:C,MATCH(E7,Mensajes!A:A,0))</f>
        <v>Definir e implementar un plan de acción urgente con medidas concretas, responsables y seguimiento cercano.</v>
      </c>
    </row>
  </sheetData>
  <pageMargins left="0.75" right="0.75" top="1" bottom="1" header="0.5" footer="0.5"/>
  <ignoredErrors>
    <ignoredError numberStoredAsText="1" sqref="A1:I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Dominio</v>
      </c>
      <c r="B1" t="str">
        <v>IP_dom</v>
      </c>
      <c r="C1" t="str">
        <v>IP_dom_%</v>
      </c>
      <c r="D1" t="str">
        <v>IO_dom</v>
      </c>
      <c r="E1" t="str">
        <v>IO_dom_%</v>
      </c>
      <c r="F1" t="str">
        <v>IGB_dom</v>
      </c>
      <c r="G1" t="str">
        <v>IGB_dom_%</v>
      </c>
      <c r="H1" t="str">
        <v>Conclusión</v>
      </c>
      <c r="I1" t="str">
        <v>Insight_RP_vs_FO</v>
      </c>
      <c r="J1" t="str">
        <v>Recomendación</v>
      </c>
    </row>
    <row r="2">
      <c r="A2" t="str">
        <v>Físico</v>
      </c>
      <c r="B2">
        <f>INDEX(Índices!B:B,MATCH(A2,Índices!A:A,0))</f>
        <v>0</v>
      </c>
      <c r="C2">
        <f>INDEX(Índices!C:C,MATCH(A2,Índices!A:A,0))</f>
        <v>0</v>
      </c>
      <c r="D2">
        <f>INDEX(Índices!D:D,MATCH(A2,Índices!A:A,0))</f>
        <v>0</v>
      </c>
      <c r="E2">
        <f>INDEX(Índices!E:E,MATCH(A2,Índices!A:A,0))</f>
        <v>0</v>
      </c>
      <c r="F2">
        <f>INDEX(Índices!F:F,MATCH(A2,Índices!A:A,0))</f>
        <v>0</v>
      </c>
      <c r="G2">
        <f>INDEX(Índices!G:G,MATCH(A2,Índices!A:A,0))</f>
        <v>0</v>
      </c>
      <c r="H2" t="str">
        <f>Conclusiones!G2</f>
        <v>En el dominio Físico, se encuentra en un nivel CRÍTICO y requiere atención inmediata.</v>
      </c>
      <c r="I2" t="str">
        <f>Conclusiones!H2</f>
        <v>No se observa una brecha marcada entre lo personal y lo organizacional. Es un dominio que requiere mejoras integradas (persona–organización).</v>
      </c>
      <c r="J2" t="str">
        <f>Conclusiones!I2</f>
        <v>Definir e implementar un plan de acción urgente con medidas concretas, responsables y seguimiento cercano.</v>
      </c>
    </row>
    <row r="3">
      <c r="A3" t="str">
        <v>Nutricional</v>
      </c>
      <c r="B3">
        <f>INDEX(Índices!B:B,MATCH(A3,Índices!A:A,0))</f>
        <v>0</v>
      </c>
      <c r="C3">
        <f>INDEX(Índices!C:C,MATCH(A3,Índices!A:A,0))</f>
        <v>0</v>
      </c>
      <c r="D3">
        <f>INDEX(Índices!D:D,MATCH(A3,Índices!A:A,0))</f>
        <v>0</v>
      </c>
      <c r="E3">
        <f>INDEX(Índices!E:E,MATCH(A3,Índices!A:A,0))</f>
        <v>0</v>
      </c>
      <c r="F3">
        <f>INDEX(Índices!F:F,MATCH(A3,Índices!A:A,0))</f>
        <v>0</v>
      </c>
      <c r="G3">
        <f>INDEX(Índices!G:G,MATCH(A3,Índices!A:A,0))</f>
        <v>0</v>
      </c>
      <c r="H3" t="str">
        <f>Conclusiones!G3</f>
        <v>En el dominio Nutricional, se encuentra en un nivel CRÍTICO y requiere atención inmediata.</v>
      </c>
      <c r="I3" t="str">
        <f>Conclusiones!H3</f>
        <v>No se observa una brecha marcada entre lo personal y lo organizacional. Es un dominio que requiere mejoras integradas (persona–organización).</v>
      </c>
      <c r="J3" t="str">
        <f>Conclusiones!I3</f>
        <v>Definir e implementar un plan de acción urgente con medidas concretas, responsables y seguimiento cercano.</v>
      </c>
    </row>
    <row r="4">
      <c r="A4" t="str">
        <v>Emocional</v>
      </c>
      <c r="B4">
        <f>INDEX(Índices!B:B,MATCH(A4,Índices!A:A,0))</f>
        <v>0</v>
      </c>
      <c r="C4">
        <f>INDEX(Índices!C:C,MATCH(A4,Índices!A:A,0))</f>
        <v>0</v>
      </c>
      <c r="D4">
        <f>INDEX(Índices!D:D,MATCH(A4,Índices!A:A,0))</f>
        <v>0</v>
      </c>
      <c r="E4">
        <f>INDEX(Índices!E:E,MATCH(A4,Índices!A:A,0))</f>
        <v>0</v>
      </c>
      <c r="F4">
        <f>INDEX(Índices!F:F,MATCH(A4,Índices!A:A,0))</f>
        <v>0</v>
      </c>
      <c r="G4">
        <f>INDEX(Índices!G:G,MATCH(A4,Índices!A:A,0))</f>
        <v>0</v>
      </c>
      <c r="H4" t="str">
        <f>Conclusiones!G4</f>
        <v>En el dominio Emocional, se encuentra en un nivel CRÍTICO y requiere atención inmediata.</v>
      </c>
      <c r="I4" t="str">
        <f>Conclusiones!H4</f>
        <v>No se observa una brecha marcada entre lo personal y lo organizacional. Es un dominio que requiere mejoras integradas (persona–organización).</v>
      </c>
      <c r="J4" t="str">
        <f>Conclusiones!I4</f>
        <v>Definir e implementar un plan de acción urgente con medidas concretas, responsables y seguimiento cercano.</v>
      </c>
    </row>
    <row r="5">
      <c r="A5" t="str">
        <v>Social</v>
      </c>
      <c r="B5">
        <f>INDEX(Índices!B:B,MATCH(A5,Índices!A:A,0))</f>
        <v>0</v>
      </c>
      <c r="C5">
        <f>INDEX(Índices!C:C,MATCH(A5,Índices!A:A,0))</f>
        <v>0</v>
      </c>
      <c r="D5">
        <f>INDEX(Índices!D:D,MATCH(A5,Índices!A:A,0))</f>
        <v>0</v>
      </c>
      <c r="E5">
        <f>INDEX(Índices!E:E,MATCH(A5,Índices!A:A,0))</f>
        <v>0</v>
      </c>
      <c r="F5">
        <f>INDEX(Índices!F:F,MATCH(A5,Índices!A:A,0))</f>
        <v>0</v>
      </c>
      <c r="G5">
        <f>INDEX(Índices!G:G,MATCH(A5,Índices!A:A,0))</f>
        <v>0</v>
      </c>
      <c r="H5" t="str">
        <f>Conclusiones!G5</f>
        <v>En el dominio Social, se encuentra en un nivel CRÍTICO y requiere atención inmediata.</v>
      </c>
      <c r="I5" t="str">
        <f>Conclusiones!H5</f>
        <v>No se observa una brecha marcada entre lo personal y lo organizacional. Es un dominio que requiere mejoras integradas (persona–organización).</v>
      </c>
      <c r="J5" t="str">
        <f>Conclusiones!I5</f>
        <v>Definir e implementar un plan de acción urgente con medidas concretas, responsables y seguimiento cercano.</v>
      </c>
    </row>
    <row r="6">
      <c r="A6" t="str">
        <v>Familiar</v>
      </c>
      <c r="B6">
        <f>INDEX(Índices!B:B,MATCH(A6,Índices!A:A,0))</f>
        <v>0</v>
      </c>
      <c r="C6">
        <f>INDEX(Índices!C:C,MATCH(A6,Índices!A:A,0))</f>
        <v>0</v>
      </c>
      <c r="D6">
        <f>INDEX(Índices!D:D,MATCH(A6,Índices!A:A,0))</f>
        <v>0</v>
      </c>
      <c r="E6">
        <f>INDEX(Índices!E:E,MATCH(A6,Índices!A:A,0))</f>
        <v>0</v>
      </c>
      <c r="F6">
        <f>INDEX(Índices!F:F,MATCH(A6,Índices!A:A,0))</f>
        <v>0</v>
      </c>
      <c r="G6">
        <f>INDEX(Índices!G:G,MATCH(A6,Índices!A:A,0))</f>
        <v>0</v>
      </c>
      <c r="H6" t="str">
        <f>Conclusiones!G6</f>
        <v>En el dominio Familiar, se encuentra en un nivel CRÍTICO y requiere atención inmediata.</v>
      </c>
      <c r="I6" t="str">
        <f>Conclusiones!H6</f>
        <v>No se observa una brecha marcada entre lo personal y lo organizacional. Es un dominio que requiere mejoras integradas (persona–organización).</v>
      </c>
      <c r="J6" t="str">
        <f>Conclusiones!I6</f>
        <v>Definir e implementar un plan de acción urgente con medidas concretas, responsables y seguimiento cercano.</v>
      </c>
    </row>
    <row r="7">
      <c r="A7" t="str">
        <v>Económico</v>
      </c>
      <c r="B7">
        <f>INDEX(Índices!B:B,MATCH(A7,Índices!A:A,0))</f>
        <v>0</v>
      </c>
      <c r="C7">
        <f>INDEX(Índices!C:C,MATCH(A7,Índices!A:A,0))</f>
        <v>0</v>
      </c>
      <c r="D7">
        <f>INDEX(Índices!D:D,MATCH(A7,Índices!A:A,0))</f>
        <v>0</v>
      </c>
      <c r="E7">
        <f>INDEX(Índices!E:E,MATCH(A7,Índices!A:A,0))</f>
        <v>0</v>
      </c>
      <c r="F7">
        <f>INDEX(Índices!F:F,MATCH(A7,Índices!A:A,0))</f>
        <v>0</v>
      </c>
      <c r="G7">
        <f>INDEX(Índices!G:G,MATCH(A7,Índices!A:A,0))</f>
        <v>0</v>
      </c>
      <c r="H7" t="str">
        <f>Conclusiones!G7</f>
        <v>En el dominio Económico, se encuentra en un nivel CRÍTICO y requiere atención inmediata.</v>
      </c>
      <c r="I7" t="str">
        <f>Conclusiones!H7</f>
        <v>No se observa una brecha marcada entre lo personal y lo organizacional. Es un dominio que requiere mejoras integradas (persona–organización).</v>
      </c>
      <c r="J7" t="str">
        <f>Conclusiones!I7</f>
        <v>Definir e implementar un plan de acción urgente con medidas concretas, responsables y seguimiento cercano.</v>
      </c>
    </row>
  </sheetData>
  <pageMargins left="0.75" right="0.75" top="1" bottom="1" header="0.5" footer="0.5"/>
  <ignoredErrors>
    <ignoredError numberStoredAsText="1" sqref="A1:J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{"scoring_method":"weighted_average","thresholds":{"critical":1,"low":3,"medium":5,"high":7,"excellent":9}}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Glosario</vt:lpstr>
      <vt:lpstr>Respuestas</vt:lpstr>
      <vt:lpstr>Resumen</vt:lpstr>
      <vt:lpstr>Índices</vt:lpstr>
      <vt:lpstr>Mensajes</vt:lpstr>
      <vt:lpstr>Recomendaciones</vt:lpstr>
      <vt:lpstr>Conclusiones</vt:lpstr>
      <vt:lpstr>Informe_detallado</vt:lpstr>
      <vt:lpstr>Algorithm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