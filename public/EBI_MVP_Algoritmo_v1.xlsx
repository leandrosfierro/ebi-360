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cmenvielle/Downloads/"/>
    </mc:Choice>
  </mc:AlternateContent>
  <xr:revisionPtr revIDLastSave="0" documentId="13_ncr:1_{734D4E3A-332D-3A43-ABBC-B668231B9A90}" xr6:coauthVersionLast="47" xr6:coauthVersionMax="47" xr10:uidLastSave="{00000000-0000-0000-0000-000000000000}"/>
  <bookViews>
    <workbookView xWindow="-20" yWindow="500" windowWidth="28800" windowHeight="16080" activeTab="1" xr2:uid="{00000000-000D-0000-FFFF-FFFF00000000}"/>
  </bookViews>
  <sheets>
    <sheet name="Glosario" sheetId="8" r:id="rId1"/>
    <sheet name="Respuestas" sheetId="1" r:id="rId2"/>
    <sheet name="Resumen" sheetId="7" r:id="rId3"/>
    <sheet name="Índices" sheetId="2" r:id="rId4"/>
    <sheet name="Mensajes" sheetId="3" r:id="rId5"/>
    <sheet name="Recomendaciones" sheetId="5" r:id="rId6"/>
    <sheet name="Conclusiones" sheetId="4" r:id="rId7"/>
    <sheet name="Informe_detallado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" i="1" l="1"/>
  <c r="J25" i="1"/>
  <c r="K25" i="1" s="1"/>
  <c r="M24" i="1"/>
  <c r="J24" i="1"/>
  <c r="L24" i="1" s="1"/>
  <c r="M23" i="1"/>
  <c r="J23" i="1"/>
  <c r="K23" i="1" s="1"/>
  <c r="M22" i="1"/>
  <c r="J22" i="1"/>
  <c r="L22" i="1" s="1"/>
  <c r="M21" i="1"/>
  <c r="J21" i="1"/>
  <c r="K21" i="1" s="1"/>
  <c r="M20" i="1"/>
  <c r="J20" i="1"/>
  <c r="L20" i="1" s="1"/>
  <c r="M19" i="1"/>
  <c r="J19" i="1"/>
  <c r="K19" i="1" s="1"/>
  <c r="M18" i="1"/>
  <c r="J18" i="1"/>
  <c r="K18" i="1" s="1"/>
  <c r="M17" i="1"/>
  <c r="J17" i="1"/>
  <c r="K17" i="1" s="1"/>
  <c r="M16" i="1"/>
  <c r="J16" i="1"/>
  <c r="L16" i="1" s="1"/>
  <c r="M15" i="1"/>
  <c r="J15" i="1"/>
  <c r="K15" i="1" s="1"/>
  <c r="M14" i="1"/>
  <c r="J14" i="1"/>
  <c r="L14" i="1" s="1"/>
  <c r="M13" i="1"/>
  <c r="J13" i="1"/>
  <c r="K13" i="1" s="1"/>
  <c r="M12" i="1"/>
  <c r="J12" i="1"/>
  <c r="L12" i="1" s="1"/>
  <c r="M11" i="1"/>
  <c r="J11" i="1"/>
  <c r="K11" i="1" s="1"/>
  <c r="M10" i="1"/>
  <c r="J10" i="1"/>
  <c r="L10" i="1" s="1"/>
  <c r="M9" i="1"/>
  <c r="J9" i="1"/>
  <c r="K9" i="1" s="1"/>
  <c r="M8" i="1"/>
  <c r="J8" i="1"/>
  <c r="L8" i="1" s="1"/>
  <c r="M7" i="1"/>
  <c r="J7" i="1"/>
  <c r="K7" i="1" s="1"/>
  <c r="M6" i="1"/>
  <c r="J6" i="1"/>
  <c r="K6" i="1" s="1"/>
  <c r="M5" i="1"/>
  <c r="J5" i="1"/>
  <c r="K5" i="1" s="1"/>
  <c r="M4" i="1"/>
  <c r="J4" i="1"/>
  <c r="L4" i="1" s="1"/>
  <c r="M3" i="1"/>
  <c r="J3" i="1"/>
  <c r="K3" i="1" s="1"/>
  <c r="M2" i="1"/>
  <c r="J2" i="1"/>
  <c r="L2" i="1" s="1"/>
  <c r="L13" i="1" l="1"/>
  <c r="L25" i="1"/>
  <c r="L23" i="1"/>
  <c r="L21" i="1"/>
  <c r="L19" i="1"/>
  <c r="L17" i="1"/>
  <c r="L15" i="1"/>
  <c r="L11" i="1"/>
  <c r="L9" i="1"/>
  <c r="L7" i="1"/>
  <c r="L5" i="1"/>
  <c r="L3" i="1"/>
  <c r="D12" i="2"/>
  <c r="D9" i="2"/>
  <c r="B8" i="2"/>
  <c r="K2" i="1"/>
  <c r="K22" i="1"/>
  <c r="K20" i="1"/>
  <c r="B11" i="2" s="1"/>
  <c r="K4" i="1"/>
  <c r="K8" i="1"/>
  <c r="K10" i="1"/>
  <c r="K12" i="1"/>
  <c r="K14" i="1"/>
  <c r="B10" i="2" s="1"/>
  <c r="K16" i="1"/>
  <c r="K24" i="1"/>
  <c r="L6" i="1"/>
  <c r="D8" i="2" s="1"/>
  <c r="L18" i="1"/>
  <c r="B12" i="2" l="1"/>
  <c r="D10" i="2"/>
  <c r="E10" i="2" s="1"/>
  <c r="E5" i="6" s="1"/>
  <c r="D7" i="2"/>
  <c r="E7" i="2" s="1"/>
  <c r="E2" i="6" s="1"/>
  <c r="D11" i="2"/>
  <c r="D6" i="6" s="1"/>
  <c r="C5" i="4"/>
  <c r="D5" i="6"/>
  <c r="B3" i="2"/>
  <c r="D3" i="7" s="1"/>
  <c r="B6" i="4"/>
  <c r="B6" i="6"/>
  <c r="C11" i="2"/>
  <c r="C6" i="6" s="1"/>
  <c r="D2" i="6"/>
  <c r="C3" i="4"/>
  <c r="D3" i="6"/>
  <c r="E8" i="2"/>
  <c r="E3" i="6" s="1"/>
  <c r="B9" i="2"/>
  <c r="D7" i="6"/>
  <c r="C7" i="4"/>
  <c r="E12" i="2"/>
  <c r="E7" i="6" s="1"/>
  <c r="C4" i="4"/>
  <c r="D4" i="6"/>
  <c r="E9" i="2"/>
  <c r="E4" i="6" s="1"/>
  <c r="B7" i="4"/>
  <c r="B7" i="6"/>
  <c r="C12" i="2"/>
  <c r="C7" i="6" s="1"/>
  <c r="F12" i="2"/>
  <c r="B2" i="2"/>
  <c r="B7" i="2"/>
  <c r="B5" i="4"/>
  <c r="C10" i="2"/>
  <c r="C5" i="6" s="1"/>
  <c r="B5" i="6"/>
  <c r="F10" i="2"/>
  <c r="B3" i="4"/>
  <c r="F8" i="2"/>
  <c r="B3" i="6"/>
  <c r="C8" i="2"/>
  <c r="C3" i="6" s="1"/>
  <c r="F5" i="4" l="1"/>
  <c r="H5" i="4" s="1"/>
  <c r="I5" i="6" s="1"/>
  <c r="C2" i="4"/>
  <c r="E11" i="2"/>
  <c r="E6" i="6" s="1"/>
  <c r="C6" i="4"/>
  <c r="F6" i="4" s="1"/>
  <c r="H6" i="4" s="1"/>
  <c r="I6" i="6" s="1"/>
  <c r="F11" i="2"/>
  <c r="F6" i="6" s="1"/>
  <c r="B3" i="7"/>
  <c r="C3" i="2"/>
  <c r="C3" i="7" s="1"/>
  <c r="F7" i="4"/>
  <c r="H7" i="4" s="1"/>
  <c r="I7" i="6" s="1"/>
  <c r="F3" i="4"/>
  <c r="H3" i="4" s="1"/>
  <c r="I3" i="6" s="1"/>
  <c r="B2" i="4"/>
  <c r="F2" i="4" s="1"/>
  <c r="H2" i="4" s="1"/>
  <c r="I2" i="6" s="1"/>
  <c r="F7" i="2"/>
  <c r="B2" i="6"/>
  <c r="C7" i="2"/>
  <c r="C2" i="6" s="1"/>
  <c r="B2" i="7"/>
  <c r="D2" i="7"/>
  <c r="B4" i="2"/>
  <c r="C2" i="2"/>
  <c r="C2" i="7" s="1"/>
  <c r="F3" i="6"/>
  <c r="G8" i="2"/>
  <c r="G3" i="6" s="1"/>
  <c r="D3" i="4"/>
  <c r="F7" i="6"/>
  <c r="D7" i="4"/>
  <c r="G12" i="2"/>
  <c r="G7" i="6" s="1"/>
  <c r="F5" i="6"/>
  <c r="G10" i="2"/>
  <c r="G5" i="6" s="1"/>
  <c r="D5" i="4"/>
  <c r="C9" i="2"/>
  <c r="C4" i="6" s="1"/>
  <c r="B4" i="6"/>
  <c r="B4" i="4"/>
  <c r="F4" i="4" s="1"/>
  <c r="H4" i="4" s="1"/>
  <c r="I4" i="6" s="1"/>
  <c r="F9" i="2"/>
  <c r="G11" i="2" l="1"/>
  <c r="G6" i="6" s="1"/>
  <c r="D6" i="4"/>
  <c r="E6" i="4" s="1"/>
  <c r="G9" i="2"/>
  <c r="G4" i="6" s="1"/>
  <c r="F4" i="6"/>
  <c r="D4" i="4"/>
  <c r="B7" i="7"/>
  <c r="D4" i="7"/>
  <c r="B4" i="7"/>
  <c r="C4" i="2"/>
  <c r="C4" i="7" s="1"/>
  <c r="E7" i="4"/>
  <c r="B7" i="5"/>
  <c r="B3" i="5"/>
  <c r="E3" i="4"/>
  <c r="B5" i="5"/>
  <c r="E5" i="4"/>
  <c r="G7" i="2"/>
  <c r="G2" i="6" s="1"/>
  <c r="F2" i="6"/>
  <c r="D2" i="4"/>
  <c r="B6" i="5"/>
  <c r="B2" i="5" l="1"/>
  <c r="E2" i="4"/>
  <c r="C7" i="5"/>
  <c r="G7" i="4"/>
  <c r="H7" i="6" s="1"/>
  <c r="I7" i="4"/>
  <c r="G5" i="4"/>
  <c r="H5" i="6" s="1"/>
  <c r="C5" i="5"/>
  <c r="I5" i="4"/>
  <c r="E4" i="4"/>
  <c r="B4" i="5"/>
  <c r="I3" i="4"/>
  <c r="G3" i="4"/>
  <c r="H3" i="6" s="1"/>
  <c r="C3" i="5"/>
  <c r="I6" i="4"/>
  <c r="C6" i="5"/>
  <c r="G6" i="4"/>
  <c r="H6" i="6" s="1"/>
  <c r="D7" i="5" l="1"/>
  <c r="J7" i="6"/>
  <c r="D3" i="5"/>
  <c r="J3" i="6"/>
  <c r="C2" i="5"/>
  <c r="I2" i="4"/>
  <c r="G2" i="4"/>
  <c r="H2" i="6" s="1"/>
  <c r="J5" i="6"/>
  <c r="D5" i="5"/>
  <c r="J6" i="6"/>
  <c r="D6" i="5"/>
  <c r="C4" i="5"/>
  <c r="I4" i="4"/>
  <c r="G4" i="4"/>
  <c r="H4" i="6" s="1"/>
  <c r="D2" i="5" l="1"/>
  <c r="J2" i="6"/>
  <c r="D4" i="5"/>
  <c r="J4" i="6"/>
</calcChain>
</file>

<file path=xl/sharedStrings.xml><?xml version="1.0" encoding="utf-8"?>
<sst xmlns="http://schemas.openxmlformats.org/spreadsheetml/2006/main" count="246" uniqueCount="132">
  <si>
    <t>Dominio</t>
  </si>
  <si>
    <t>Constructo</t>
  </si>
  <si>
    <t>Tipo</t>
  </si>
  <si>
    <t>Pregunta</t>
  </si>
  <si>
    <t>PD_constructo</t>
  </si>
  <si>
    <t>SR_constructo</t>
  </si>
  <si>
    <t>Peso_personal</t>
  </si>
  <si>
    <t>Peso_organizacional</t>
  </si>
  <si>
    <t>Respuesta_1a5</t>
  </si>
  <si>
    <t>Score_pregunta</t>
  </si>
  <si>
    <t>Score_personal</t>
  </si>
  <si>
    <t>Score_organizacional</t>
  </si>
  <si>
    <t>Peso_total</t>
  </si>
  <si>
    <t>Físico</t>
  </si>
  <si>
    <t>Bienestar corporal básico</t>
  </si>
  <si>
    <t>RP</t>
  </si>
  <si>
    <t>¿Dormís lo suficiente como para sentirte descansado/a la mayoría de los días?</t>
  </si>
  <si>
    <t>FO</t>
  </si>
  <si>
    <t>¿Tu jornada laboral permite mantener horarios regulares de descanso?</t>
  </si>
  <si>
    <t>Cuidado físico diario</t>
  </si>
  <si>
    <t>¿Te tomás pequeñas pausas o te movés unos minutos durante tu jornada?</t>
  </si>
  <si>
    <t>¿El ritmo de trabajo permite hacer pausas breves cuando las necesitás?</t>
  </si>
  <si>
    <t>Nutricional</t>
  </si>
  <si>
    <t>Hábitos alimentarios básicos</t>
  </si>
  <si>
    <t>¿Mantenés horarios mínimos para comer sin saltearte comidas?</t>
  </si>
  <si>
    <t>¿Podés comer sin apuros durante tu jornada laboral?</t>
  </si>
  <si>
    <t>Emocional</t>
  </si>
  <si>
    <t>Tensión mental/emocional</t>
  </si>
  <si>
    <t>¿Podés manejar el estrés diario sin sentirte desbordado/a?</t>
  </si>
  <si>
    <t>¿Las exigencias del trabajo mantienen tu nivel de estrés en algo manejable?</t>
  </si>
  <si>
    <t>Manejo emocional</t>
  </si>
  <si>
    <t>¿Lográs regular tus emociones en situaciones tensas?</t>
  </si>
  <si>
    <t>¿El ambiente laboral favorece un clima emocional saludable?</t>
  </si>
  <si>
    <t>Satisfacción emocional</t>
  </si>
  <si>
    <t>¿Disfrutás al menos una parte de tu trabajo en el día a día?</t>
  </si>
  <si>
    <t>¿El entorno laboral favorece experiencias positivas durante la jornada?</t>
  </si>
  <si>
    <t>Social</t>
  </si>
  <si>
    <t>Vínculos sociales</t>
  </si>
  <si>
    <t>¿Te involucrás activamente para mantener relaciones positivas con tu equipo?</t>
  </si>
  <si>
    <t>¿Te sentís incluido/a y bien tratado/a por tu equipo?</t>
  </si>
  <si>
    <t>Intercambio humano</t>
  </si>
  <si>
    <t>¿Pedís ayuda cuando realmente la necesitás?</t>
  </si>
  <si>
    <t>¿Tus compañeros suelen brindarte apoyo cuando lo necesitás?</t>
  </si>
  <si>
    <t>Familiar</t>
  </si>
  <si>
    <t>Armonía trabajo–vida</t>
  </si>
  <si>
    <t>¿Lográs organizar tu vida personal sin que se vea afectada constantemente por el trabajo?</t>
  </si>
  <si>
    <t>¿La empresa respeta tus horarios y límites personales fuera del trabajo?</t>
  </si>
  <si>
    <t>Soporte del entorno</t>
  </si>
  <si>
    <t>¿Sentís apoyo de tu entorno para cumplir tus responsabilidades laborales?</t>
  </si>
  <si>
    <t>¿La empresa comprende y acompaña situaciones personales cuando es necesario?</t>
  </si>
  <si>
    <t>Económico</t>
  </si>
  <si>
    <t>Seguridad económica</t>
  </si>
  <si>
    <t>¿Sentís tranquilidad en cómo manejás tus finanzas personales?</t>
  </si>
  <si>
    <t>¿La estabilidad de tu ingreso te permite sentir tranquilidad mes a mes?</t>
  </si>
  <si>
    <t>Gestión económica personal</t>
  </si>
  <si>
    <t>¿Tenés tus finanzas personales organizadas de manera clara?</t>
  </si>
  <si>
    <t>¿Recibís tu información salarial de forma clara y confiable?</t>
  </si>
  <si>
    <t>Índice</t>
  </si>
  <si>
    <t>Valor</t>
  </si>
  <si>
    <t>Valor_%</t>
  </si>
  <si>
    <t>Descripción</t>
  </si>
  <si>
    <t>IP_global</t>
  </si>
  <si>
    <t>Índice Personal Global (0–5)</t>
  </si>
  <si>
    <t>IO_global</t>
  </si>
  <si>
    <t>Índice Organizacional Global (0–5)</t>
  </si>
  <si>
    <t>IGB_global</t>
  </si>
  <si>
    <t>Índice General de Bienestar (0–5)</t>
  </si>
  <si>
    <t>IP_dom</t>
  </si>
  <si>
    <t>IP_dom_%</t>
  </si>
  <si>
    <t>IO_dom</t>
  </si>
  <si>
    <t>IO_dom_%</t>
  </si>
  <si>
    <t>IGB_dom</t>
  </si>
  <si>
    <t>IGB_dom_%</t>
  </si>
  <si>
    <t>Índices del dominio Físico (0–5)</t>
  </si>
  <si>
    <t>Índices del dominio Nutricional (0–5)</t>
  </si>
  <si>
    <t>Índices del dominio Emocional (0–5)</t>
  </si>
  <si>
    <t>Índices del dominio Social (0–5)</t>
  </si>
  <si>
    <t>Índices del dominio Familiar (0–5)</t>
  </si>
  <si>
    <t>Índices del dominio Económico (0–5)</t>
  </si>
  <si>
    <t>Sev_code</t>
  </si>
  <si>
    <t>Texto_dominio</t>
  </si>
  <si>
    <t>Texto_recomendacion</t>
  </si>
  <si>
    <t>Brecha_code</t>
  </si>
  <si>
    <t>Texto_brecha</t>
  </si>
  <si>
    <t>se encuentra en un nivel CRÍTICO y requiere atención inmediata.</t>
  </si>
  <si>
    <t>Definir e implementar un plan de acción urgente con medidas concretas, responsables y seguimiento cercano.</t>
  </si>
  <si>
    <t>Los hábitos y recursos personales están por debajo de las condiciones que ofrece la organización. Conviene trabajar primero en autocuidado, hábitos y conciencia personal en este dominio.</t>
  </si>
  <si>
    <t>presenta RIESGOS que no pueden ignorarse.</t>
  </si>
  <si>
    <t>Diseñar acciones de mejora para los próximos 90 días, priorizando este dominio en la planificación.</t>
  </si>
  <si>
    <t>No se observa una brecha marcada entre lo personal y lo organizacional. Es un dominio que requiere mejoras integradas (persona–organización).</t>
  </si>
  <si>
    <t>se encuentra en un nivel ACEPTABLE, con oportunidades claras de mejora.</t>
  </si>
  <si>
    <t>Mantener el nivel actual e incorporar acciones puntuales para fortalecer los aspectos más débiles.</t>
  </si>
  <si>
    <t>Los hábitos personales están relativamente mejor que el contexto organizacional. Es necesario revisar prácticas, procesos, liderazgo o condiciones laborales en este dominio.</t>
  </si>
  <si>
    <t>se encuentra en un nivel SALUDABLE.</t>
  </si>
  <si>
    <t>Sostener las prácticas actuales y documentarlas como buenas prácticas para otras áreas o equipos.</t>
  </si>
  <si>
    <t>Conclusión</t>
  </si>
  <si>
    <t>Insight_RP_vs_FO</t>
  </si>
  <si>
    <t>Recomendación</t>
  </si>
  <si>
    <t>Indicador</t>
  </si>
  <si>
    <t>Interpretación</t>
  </si>
  <si>
    <t>Índice Personal Global</t>
  </si>
  <si>
    <t>Índice Organizacional Global</t>
  </si>
  <si>
    <t>Índice General de Bienestar</t>
  </si>
  <si>
    <t>Resumen Automático</t>
  </si>
  <si>
    <t>Texto</t>
  </si>
  <si>
    <t>Conclusión General</t>
  </si>
  <si>
    <t>Campo / Concepto</t>
  </si>
  <si>
    <t>Dimensión del bienestar evaluada (Físico, Nutricional, Emocional, Social, Familiar, Económico).</t>
  </si>
  <si>
    <t>Aspecto específico dentro de un dominio que se mide a través de una o más preguntas.</t>
  </si>
  <si>
    <t>RP: responsabilidad personal. FO: factor organizacional.</t>
  </si>
  <si>
    <t>Peso relativo del constructo dentro de su dominio.</t>
  </si>
  <si>
    <t>Severidad: impacto negativo que tiene un puntaje bajo en ese constructo sobre el bienestar.</t>
  </si>
  <si>
    <t>Valor 1 si la pregunta mide responsabilidad personal (RP), 0 si no.</t>
  </si>
  <si>
    <t>Valor 1 si la pregunta mide factor organizacional (FO), 0 si no.</t>
  </si>
  <si>
    <t>Respuesta de la persona en escala de 1 a 5 (1 muy bajo/en desacuerdo, 5 muy alto/de acuerdo).</t>
  </si>
  <si>
    <t>Cálculo ponderado de cada ítem: (Respuesta/5) × PD_constructo × SR_constructo.</t>
  </si>
  <si>
    <t>Parte del score atribuible a factores personales: Score_pregunta × Peso_personal.</t>
  </si>
  <si>
    <t>Parte del score atribuible al contexto organizacional: Score_pregunta × Peso_organizacional.</t>
  </si>
  <si>
    <t>PD_constructo × SR_constructo. Se usa como denominador para normalizar índices.</t>
  </si>
  <si>
    <t>IP_global / IO_global / IGB_global</t>
  </si>
  <si>
    <t>Índices globales personal, organizacional y general (0–5).</t>
  </si>
  <si>
    <t>IP_dom / IO_dom / IGB_dom</t>
  </si>
  <si>
    <t>Índices personales, organizacionales y generales por dominio.</t>
  </si>
  <si>
    <t>Versión en porcentaje de los índices (Valor/5 × 100).</t>
  </si>
  <si>
    <t>Conclusiones</t>
  </si>
  <si>
    <t>Hoja que interpreta automáticamente los resultados por dominio y sugiere conclusiones y recomendaciones base.</t>
  </si>
  <si>
    <t>Recomendaciones</t>
  </si>
  <si>
    <t>Hoja que resume las recomendaciones clave por dominio según su nivel de criticidad.</t>
  </si>
  <si>
    <t>Informe_detallado</t>
  </si>
  <si>
    <t>Vista ampliada por dominio: índices, porcentajes, conclusiones, insights RP vs FO y recomendaciones.</t>
  </si>
  <si>
    <t>Resumen</t>
  </si>
  <si>
    <t>Hoja orientada a nivel ejecutivo: IP, IO, IGB y conclusión global del estado de bienestar.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</si>
</sst>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0"/>
  <sheetViews>
    <sheetView workbookViewId="0">
      <selection activeCell="B24" sqref="B24"/>
    </sheetView>
  </sheetViews>
  <sheetFormatPr baseColWidth="10" defaultColWidth="8.83203125" defaultRowHeight="15" x14ac:dyDescent="0.2"/>
  <cols>
    <col min="1" max="1" width="26.6640625" bestFit="1" customWidth="1"/>
    <col min="2" max="2" width="88.6640625" bestFit="1" customWidth="1"/>
  </cols>
  <sheetData>
    <row r="1" spans="1:2" x14ac:dyDescent="0.2">
      <c r="A1" t="s">
        <v>106</v>
      </c>
      <c r="B1" t="s">
        <v>60</v>
      </c>
    </row>
    <row r="2" spans="1:2" x14ac:dyDescent="0.2">
      <c r="A2" t="s">
        <v>0</v>
      </c>
      <c r="B2" t="s">
        <v>107</v>
      </c>
    </row>
    <row r="3" spans="1:2" x14ac:dyDescent="0.2">
      <c r="A3" t="s">
        <v>1</v>
      </c>
      <c r="B3" t="s">
        <v>108</v>
      </c>
    </row>
    <row r="4" spans="1:2" x14ac:dyDescent="0.2">
      <c r="A4" t="s">
        <v>2</v>
      </c>
      <c r="B4" t="s">
        <v>109</v>
      </c>
    </row>
    <row r="5" spans="1:2" x14ac:dyDescent="0.2">
      <c r="A5" t="s">
        <v>4</v>
      </c>
      <c r="B5" t="s">
        <v>110</v>
      </c>
    </row>
    <row r="6" spans="1:2" x14ac:dyDescent="0.2">
      <c r="A6" t="s">
        <v>5</v>
      </c>
      <c r="B6" t="s">
        <v>111</v>
      </c>
    </row>
    <row r="7" spans="1:2" x14ac:dyDescent="0.2">
      <c r="A7" t="s">
        <v>6</v>
      </c>
      <c r="B7" t="s">
        <v>112</v>
      </c>
    </row>
    <row r="8" spans="1:2" x14ac:dyDescent="0.2">
      <c r="A8" t="s">
        <v>7</v>
      </c>
      <c r="B8" t="s">
        <v>113</v>
      </c>
    </row>
    <row r="9" spans="1:2" x14ac:dyDescent="0.2">
      <c r="A9" t="s">
        <v>8</v>
      </c>
      <c r="B9" t="s">
        <v>114</v>
      </c>
    </row>
    <row r="10" spans="1:2" x14ac:dyDescent="0.2">
      <c r="A10" t="s">
        <v>9</v>
      </c>
      <c r="B10" t="s">
        <v>115</v>
      </c>
    </row>
    <row r="11" spans="1:2" x14ac:dyDescent="0.2">
      <c r="A11" t="s">
        <v>10</v>
      </c>
      <c r="B11" t="s">
        <v>116</v>
      </c>
    </row>
    <row r="12" spans="1:2" x14ac:dyDescent="0.2">
      <c r="A12" t="s">
        <v>11</v>
      </c>
      <c r="B12" t="s">
        <v>117</v>
      </c>
    </row>
    <row r="13" spans="1:2" x14ac:dyDescent="0.2">
      <c r="A13" t="s">
        <v>12</v>
      </c>
      <c r="B13" t="s">
        <v>118</v>
      </c>
    </row>
    <row r="14" spans="1:2" x14ac:dyDescent="0.2">
      <c r="A14" t="s">
        <v>119</v>
      </c>
      <c r="B14" t="s">
        <v>120</v>
      </c>
    </row>
    <row r="15" spans="1:2" x14ac:dyDescent="0.2">
      <c r="A15" t="s">
        <v>121</v>
      </c>
      <c r="B15" t="s">
        <v>122</v>
      </c>
    </row>
    <row r="16" spans="1:2" x14ac:dyDescent="0.2">
      <c r="A16" t="s">
        <v>59</v>
      </c>
      <c r="B16" t="s">
        <v>123</v>
      </c>
    </row>
    <row r="17" spans="1:2" x14ac:dyDescent="0.2">
      <c r="A17" t="s">
        <v>124</v>
      </c>
      <c r="B17" t="s">
        <v>125</v>
      </c>
    </row>
    <row r="18" spans="1:2" x14ac:dyDescent="0.2">
      <c r="A18" t="s">
        <v>126</v>
      </c>
      <c r="B18" t="s">
        <v>127</v>
      </c>
    </row>
    <row r="19" spans="1:2" x14ac:dyDescent="0.2">
      <c r="A19" t="s">
        <v>128</v>
      </c>
      <c r="B19" t="s">
        <v>129</v>
      </c>
    </row>
    <row r="20" spans="1:2" x14ac:dyDescent="0.2">
      <c r="A20" t="s">
        <v>130</v>
      </c>
      <c r="B20" t="s">
        <v>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>
      <selection activeCell="D26" sqref="D26"/>
    </sheetView>
  </sheetViews>
  <sheetFormatPr baseColWidth="10" defaultColWidth="8.83203125" defaultRowHeight="15" x14ac:dyDescent="0.2"/>
  <cols>
    <col min="1" max="1" width="9.83203125" bestFit="1" customWidth="1"/>
    <col min="2" max="2" width="22.83203125" bestFit="1" customWidth="1"/>
    <col min="3" max="3" width="4.5" bestFit="1" customWidth="1"/>
    <col min="4" max="4" width="70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>
        <v>0.6</v>
      </c>
      <c r="F2">
        <v>0.9</v>
      </c>
      <c r="G2">
        <v>1</v>
      </c>
      <c r="H2">
        <v>0</v>
      </c>
      <c r="I2" s="1"/>
      <c r="J2">
        <f t="shared" ref="J2:J25" si="0">(I2/5)*E2*F2</f>
        <v>0</v>
      </c>
      <c r="K2">
        <f t="shared" ref="K2:K25" si="1">J2*G2</f>
        <v>0</v>
      </c>
      <c r="L2">
        <f t="shared" ref="L2:L25" si="2">J2*H2</f>
        <v>0</v>
      </c>
      <c r="M2">
        <f t="shared" ref="M2:M25" si="3">E2*F2</f>
        <v>0.54</v>
      </c>
    </row>
    <row r="3" spans="1:13" x14ac:dyDescent="0.2">
      <c r="A3" t="s">
        <v>13</v>
      </c>
      <c r="B3" t="s">
        <v>14</v>
      </c>
      <c r="C3" t="s">
        <v>17</v>
      </c>
      <c r="D3" t="s">
        <v>18</v>
      </c>
      <c r="E3">
        <v>0.6</v>
      </c>
      <c r="F3">
        <v>0.9</v>
      </c>
      <c r="G3">
        <v>0</v>
      </c>
      <c r="H3">
        <v>1</v>
      </c>
      <c r="I3" s="1"/>
      <c r="J3">
        <f t="shared" si="0"/>
        <v>0</v>
      </c>
      <c r="K3">
        <f t="shared" si="1"/>
        <v>0</v>
      </c>
      <c r="L3">
        <f t="shared" si="2"/>
        <v>0</v>
      </c>
      <c r="M3">
        <f t="shared" si="3"/>
        <v>0.54</v>
      </c>
    </row>
    <row r="4" spans="1:13" x14ac:dyDescent="0.2">
      <c r="A4" t="s">
        <v>13</v>
      </c>
      <c r="B4" t="s">
        <v>19</v>
      </c>
      <c r="C4" t="s">
        <v>15</v>
      </c>
      <c r="D4" t="s">
        <v>20</v>
      </c>
      <c r="E4">
        <v>0.4</v>
      </c>
      <c r="F4">
        <v>0.8</v>
      </c>
      <c r="G4">
        <v>1</v>
      </c>
      <c r="H4">
        <v>0</v>
      </c>
      <c r="I4" s="1"/>
      <c r="J4">
        <f t="shared" si="0"/>
        <v>0</v>
      </c>
      <c r="K4">
        <f t="shared" si="1"/>
        <v>0</v>
      </c>
      <c r="L4">
        <f t="shared" si="2"/>
        <v>0</v>
      </c>
      <c r="M4">
        <f t="shared" si="3"/>
        <v>0.32000000000000006</v>
      </c>
    </row>
    <row r="5" spans="1:13" x14ac:dyDescent="0.2">
      <c r="A5" t="s">
        <v>13</v>
      </c>
      <c r="B5" t="s">
        <v>19</v>
      </c>
      <c r="C5" t="s">
        <v>17</v>
      </c>
      <c r="D5" t="s">
        <v>21</v>
      </c>
      <c r="E5">
        <v>0.4</v>
      </c>
      <c r="F5">
        <v>0.8</v>
      </c>
      <c r="G5">
        <v>0</v>
      </c>
      <c r="H5">
        <v>1</v>
      </c>
      <c r="I5" s="1"/>
      <c r="J5">
        <f t="shared" si="0"/>
        <v>0</v>
      </c>
      <c r="K5">
        <f t="shared" si="1"/>
        <v>0</v>
      </c>
      <c r="L5">
        <f t="shared" si="2"/>
        <v>0</v>
      </c>
      <c r="M5">
        <f t="shared" si="3"/>
        <v>0.32000000000000006</v>
      </c>
    </row>
    <row r="6" spans="1:13" x14ac:dyDescent="0.2">
      <c r="A6" t="s">
        <v>22</v>
      </c>
      <c r="B6" t="s">
        <v>23</v>
      </c>
      <c r="C6" t="s">
        <v>15</v>
      </c>
      <c r="D6" t="s">
        <v>24</v>
      </c>
      <c r="E6">
        <v>1</v>
      </c>
      <c r="F6">
        <v>0.7</v>
      </c>
      <c r="G6">
        <v>1</v>
      </c>
      <c r="H6">
        <v>0</v>
      </c>
      <c r="I6" s="1"/>
      <c r="J6">
        <f t="shared" si="0"/>
        <v>0</v>
      </c>
      <c r="K6">
        <f t="shared" si="1"/>
        <v>0</v>
      </c>
      <c r="L6">
        <f t="shared" si="2"/>
        <v>0</v>
      </c>
      <c r="M6">
        <f t="shared" si="3"/>
        <v>0.7</v>
      </c>
    </row>
    <row r="7" spans="1:13" x14ac:dyDescent="0.2">
      <c r="A7" t="s">
        <v>22</v>
      </c>
      <c r="B7" t="s">
        <v>23</v>
      </c>
      <c r="C7" t="s">
        <v>17</v>
      </c>
      <c r="D7" t="s">
        <v>25</v>
      </c>
      <c r="E7">
        <v>1</v>
      </c>
      <c r="F7">
        <v>0.7</v>
      </c>
      <c r="G7">
        <v>0</v>
      </c>
      <c r="H7">
        <v>1</v>
      </c>
      <c r="I7" s="1"/>
      <c r="J7">
        <f t="shared" si="0"/>
        <v>0</v>
      </c>
      <c r="K7">
        <f t="shared" si="1"/>
        <v>0</v>
      </c>
      <c r="L7">
        <f t="shared" si="2"/>
        <v>0</v>
      </c>
      <c r="M7">
        <f t="shared" si="3"/>
        <v>0.7</v>
      </c>
    </row>
    <row r="8" spans="1:13" x14ac:dyDescent="0.2">
      <c r="A8" t="s">
        <v>26</v>
      </c>
      <c r="B8" t="s">
        <v>27</v>
      </c>
      <c r="C8" t="s">
        <v>15</v>
      </c>
      <c r="D8" t="s">
        <v>28</v>
      </c>
      <c r="E8">
        <v>0.4</v>
      </c>
      <c r="F8">
        <v>0.9</v>
      </c>
      <c r="G8">
        <v>1</v>
      </c>
      <c r="H8">
        <v>0</v>
      </c>
      <c r="I8" s="1"/>
      <c r="J8">
        <f t="shared" si="0"/>
        <v>0</v>
      </c>
      <c r="K8">
        <f t="shared" si="1"/>
        <v>0</v>
      </c>
      <c r="L8">
        <f t="shared" si="2"/>
        <v>0</v>
      </c>
      <c r="M8">
        <f t="shared" si="3"/>
        <v>0.36000000000000004</v>
      </c>
    </row>
    <row r="9" spans="1:13" x14ac:dyDescent="0.2">
      <c r="A9" t="s">
        <v>26</v>
      </c>
      <c r="B9" t="s">
        <v>27</v>
      </c>
      <c r="C9" t="s">
        <v>17</v>
      </c>
      <c r="D9" t="s">
        <v>29</v>
      </c>
      <c r="E9">
        <v>0.4</v>
      </c>
      <c r="F9">
        <v>0.9</v>
      </c>
      <c r="G9">
        <v>0</v>
      </c>
      <c r="H9">
        <v>1</v>
      </c>
      <c r="I9" s="1"/>
      <c r="J9">
        <f t="shared" si="0"/>
        <v>0</v>
      </c>
      <c r="K9">
        <f t="shared" si="1"/>
        <v>0</v>
      </c>
      <c r="L9">
        <f t="shared" si="2"/>
        <v>0</v>
      </c>
      <c r="M9">
        <f t="shared" si="3"/>
        <v>0.36000000000000004</v>
      </c>
    </row>
    <row r="10" spans="1:13" x14ac:dyDescent="0.2">
      <c r="A10" t="s">
        <v>26</v>
      </c>
      <c r="B10" t="s">
        <v>30</v>
      </c>
      <c r="C10" t="s">
        <v>15</v>
      </c>
      <c r="D10" t="s">
        <v>31</v>
      </c>
      <c r="E10">
        <v>0.35</v>
      </c>
      <c r="F10">
        <v>0.85</v>
      </c>
      <c r="G10">
        <v>1</v>
      </c>
      <c r="H10">
        <v>0</v>
      </c>
      <c r="I10" s="1"/>
      <c r="J10">
        <f t="shared" si="0"/>
        <v>0</v>
      </c>
      <c r="K10">
        <f t="shared" si="1"/>
        <v>0</v>
      </c>
      <c r="L10">
        <f t="shared" si="2"/>
        <v>0</v>
      </c>
      <c r="M10">
        <f t="shared" si="3"/>
        <v>0.29749999999999999</v>
      </c>
    </row>
    <row r="11" spans="1:13" x14ac:dyDescent="0.2">
      <c r="A11" t="s">
        <v>26</v>
      </c>
      <c r="B11" t="s">
        <v>30</v>
      </c>
      <c r="C11" t="s">
        <v>17</v>
      </c>
      <c r="D11" t="s">
        <v>32</v>
      </c>
      <c r="E11">
        <v>0.35</v>
      </c>
      <c r="F11">
        <v>0.85</v>
      </c>
      <c r="G11">
        <v>0</v>
      </c>
      <c r="H11">
        <v>1</v>
      </c>
      <c r="I11" s="1"/>
      <c r="J11">
        <f t="shared" si="0"/>
        <v>0</v>
      </c>
      <c r="K11">
        <f t="shared" si="1"/>
        <v>0</v>
      </c>
      <c r="L11">
        <f t="shared" si="2"/>
        <v>0</v>
      </c>
      <c r="M11">
        <f t="shared" si="3"/>
        <v>0.29749999999999999</v>
      </c>
    </row>
    <row r="12" spans="1:13" x14ac:dyDescent="0.2">
      <c r="A12" t="s">
        <v>26</v>
      </c>
      <c r="B12" t="s">
        <v>33</v>
      </c>
      <c r="C12" t="s">
        <v>15</v>
      </c>
      <c r="D12" t="s">
        <v>34</v>
      </c>
      <c r="E12">
        <v>0.25</v>
      </c>
      <c r="F12">
        <v>0.7</v>
      </c>
      <c r="G12">
        <v>1</v>
      </c>
      <c r="H12">
        <v>0</v>
      </c>
      <c r="I12" s="1"/>
      <c r="J12">
        <f t="shared" si="0"/>
        <v>0</v>
      </c>
      <c r="K12">
        <f t="shared" si="1"/>
        <v>0</v>
      </c>
      <c r="L12">
        <f t="shared" si="2"/>
        <v>0</v>
      </c>
      <c r="M12">
        <f t="shared" si="3"/>
        <v>0.17499999999999999</v>
      </c>
    </row>
    <row r="13" spans="1:13" x14ac:dyDescent="0.2">
      <c r="A13" t="s">
        <v>26</v>
      </c>
      <c r="B13" t="s">
        <v>33</v>
      </c>
      <c r="C13" t="s">
        <v>17</v>
      </c>
      <c r="D13" t="s">
        <v>35</v>
      </c>
      <c r="E13">
        <v>0.25</v>
      </c>
      <c r="F13">
        <v>0.7</v>
      </c>
      <c r="G13">
        <v>0</v>
      </c>
      <c r="H13">
        <v>1</v>
      </c>
      <c r="I13" s="1"/>
      <c r="J13">
        <f t="shared" si="0"/>
        <v>0</v>
      </c>
      <c r="K13">
        <f t="shared" si="1"/>
        <v>0</v>
      </c>
      <c r="L13">
        <f t="shared" si="2"/>
        <v>0</v>
      </c>
      <c r="M13">
        <f t="shared" si="3"/>
        <v>0.17499999999999999</v>
      </c>
    </row>
    <row r="14" spans="1:13" x14ac:dyDescent="0.2">
      <c r="A14" t="s">
        <v>36</v>
      </c>
      <c r="B14" t="s">
        <v>37</v>
      </c>
      <c r="C14" t="s">
        <v>15</v>
      </c>
      <c r="D14" t="s">
        <v>38</v>
      </c>
      <c r="E14">
        <v>0.55000000000000004</v>
      </c>
      <c r="F14">
        <v>0.8</v>
      </c>
      <c r="G14">
        <v>1</v>
      </c>
      <c r="H14">
        <v>0</v>
      </c>
      <c r="I14" s="1"/>
      <c r="J14">
        <f t="shared" si="0"/>
        <v>0</v>
      </c>
      <c r="K14">
        <f t="shared" si="1"/>
        <v>0</v>
      </c>
      <c r="L14">
        <f t="shared" si="2"/>
        <v>0</v>
      </c>
      <c r="M14">
        <f t="shared" si="3"/>
        <v>0.44000000000000006</v>
      </c>
    </row>
    <row r="15" spans="1:13" x14ac:dyDescent="0.2">
      <c r="A15" t="s">
        <v>36</v>
      </c>
      <c r="B15" t="s">
        <v>37</v>
      </c>
      <c r="C15" t="s">
        <v>17</v>
      </c>
      <c r="D15" t="s">
        <v>39</v>
      </c>
      <c r="E15">
        <v>0.55000000000000004</v>
      </c>
      <c r="F15">
        <v>0.8</v>
      </c>
      <c r="G15">
        <v>0</v>
      </c>
      <c r="H15">
        <v>1</v>
      </c>
      <c r="I15" s="1"/>
      <c r="J15">
        <f t="shared" si="0"/>
        <v>0</v>
      </c>
      <c r="K15">
        <f t="shared" si="1"/>
        <v>0</v>
      </c>
      <c r="L15">
        <f t="shared" si="2"/>
        <v>0</v>
      </c>
      <c r="M15">
        <f t="shared" si="3"/>
        <v>0.44000000000000006</v>
      </c>
    </row>
    <row r="16" spans="1:13" x14ac:dyDescent="0.2">
      <c r="A16" t="s">
        <v>36</v>
      </c>
      <c r="B16" t="s">
        <v>40</v>
      </c>
      <c r="C16" t="s">
        <v>15</v>
      </c>
      <c r="D16" t="s">
        <v>41</v>
      </c>
      <c r="E16">
        <v>0.45</v>
      </c>
      <c r="F16">
        <v>0.7</v>
      </c>
      <c r="G16">
        <v>1</v>
      </c>
      <c r="H16">
        <v>0</v>
      </c>
      <c r="I16" s="1"/>
      <c r="J16">
        <f t="shared" si="0"/>
        <v>0</v>
      </c>
      <c r="K16">
        <f t="shared" si="1"/>
        <v>0</v>
      </c>
      <c r="L16">
        <f t="shared" si="2"/>
        <v>0</v>
      </c>
      <c r="M16">
        <f t="shared" si="3"/>
        <v>0.315</v>
      </c>
    </row>
    <row r="17" spans="1:13" x14ac:dyDescent="0.2">
      <c r="A17" t="s">
        <v>36</v>
      </c>
      <c r="B17" t="s">
        <v>40</v>
      </c>
      <c r="C17" t="s">
        <v>17</v>
      </c>
      <c r="D17" t="s">
        <v>42</v>
      </c>
      <c r="E17">
        <v>0.45</v>
      </c>
      <c r="F17">
        <v>0.7</v>
      </c>
      <c r="G17">
        <v>0</v>
      </c>
      <c r="H17">
        <v>1</v>
      </c>
      <c r="I17" s="1"/>
      <c r="J17">
        <f t="shared" si="0"/>
        <v>0</v>
      </c>
      <c r="K17">
        <f t="shared" si="1"/>
        <v>0</v>
      </c>
      <c r="L17">
        <f t="shared" si="2"/>
        <v>0</v>
      </c>
      <c r="M17">
        <f t="shared" si="3"/>
        <v>0.315</v>
      </c>
    </row>
    <row r="18" spans="1:13" x14ac:dyDescent="0.2">
      <c r="A18" t="s">
        <v>43</v>
      </c>
      <c r="B18" t="s">
        <v>44</v>
      </c>
      <c r="C18" t="s">
        <v>15</v>
      </c>
      <c r="D18" t="s">
        <v>45</v>
      </c>
      <c r="E18">
        <v>0.6</v>
      </c>
      <c r="F18">
        <v>0.85</v>
      </c>
      <c r="G18">
        <v>1</v>
      </c>
      <c r="H18">
        <v>0</v>
      </c>
      <c r="I18" s="1"/>
      <c r="J18">
        <f t="shared" si="0"/>
        <v>0</v>
      </c>
      <c r="K18">
        <f t="shared" si="1"/>
        <v>0</v>
      </c>
      <c r="L18">
        <f t="shared" si="2"/>
        <v>0</v>
      </c>
      <c r="M18">
        <f t="shared" si="3"/>
        <v>0.51</v>
      </c>
    </row>
    <row r="19" spans="1:13" x14ac:dyDescent="0.2">
      <c r="A19" t="s">
        <v>43</v>
      </c>
      <c r="B19" t="s">
        <v>44</v>
      </c>
      <c r="C19" t="s">
        <v>17</v>
      </c>
      <c r="D19" t="s">
        <v>46</v>
      </c>
      <c r="E19">
        <v>0.6</v>
      </c>
      <c r="F19">
        <v>0.85</v>
      </c>
      <c r="G19">
        <v>0</v>
      </c>
      <c r="H19">
        <v>1</v>
      </c>
      <c r="I19" s="1"/>
      <c r="J19">
        <f t="shared" si="0"/>
        <v>0</v>
      </c>
      <c r="K19">
        <f t="shared" si="1"/>
        <v>0</v>
      </c>
      <c r="L19">
        <f t="shared" si="2"/>
        <v>0</v>
      </c>
      <c r="M19">
        <f t="shared" si="3"/>
        <v>0.51</v>
      </c>
    </row>
    <row r="20" spans="1:13" x14ac:dyDescent="0.2">
      <c r="A20" t="s">
        <v>43</v>
      </c>
      <c r="B20" t="s">
        <v>47</v>
      </c>
      <c r="C20" t="s">
        <v>15</v>
      </c>
      <c r="D20" t="s">
        <v>48</v>
      </c>
      <c r="E20">
        <v>0.4</v>
      </c>
      <c r="F20">
        <v>0.7</v>
      </c>
      <c r="G20">
        <v>1</v>
      </c>
      <c r="H20">
        <v>0</v>
      </c>
      <c r="I20" s="1"/>
      <c r="J20">
        <f t="shared" si="0"/>
        <v>0</v>
      </c>
      <c r="K20">
        <f t="shared" si="1"/>
        <v>0</v>
      </c>
      <c r="L20">
        <f t="shared" si="2"/>
        <v>0</v>
      </c>
      <c r="M20">
        <f t="shared" si="3"/>
        <v>0.27999999999999997</v>
      </c>
    </row>
    <row r="21" spans="1:13" x14ac:dyDescent="0.2">
      <c r="A21" t="s">
        <v>43</v>
      </c>
      <c r="B21" t="s">
        <v>47</v>
      </c>
      <c r="C21" t="s">
        <v>17</v>
      </c>
      <c r="D21" t="s">
        <v>49</v>
      </c>
      <c r="E21">
        <v>0.4</v>
      </c>
      <c r="F21">
        <v>0.7</v>
      </c>
      <c r="G21">
        <v>0</v>
      </c>
      <c r="H21">
        <v>1</v>
      </c>
      <c r="I21" s="1"/>
      <c r="J21">
        <f t="shared" si="0"/>
        <v>0</v>
      </c>
      <c r="K21">
        <f t="shared" si="1"/>
        <v>0</v>
      </c>
      <c r="L21">
        <f t="shared" si="2"/>
        <v>0</v>
      </c>
      <c r="M21">
        <f t="shared" si="3"/>
        <v>0.27999999999999997</v>
      </c>
    </row>
    <row r="22" spans="1:13" x14ac:dyDescent="0.2">
      <c r="A22" t="s">
        <v>50</v>
      </c>
      <c r="B22" t="s">
        <v>51</v>
      </c>
      <c r="C22" t="s">
        <v>15</v>
      </c>
      <c r="D22" t="s">
        <v>52</v>
      </c>
      <c r="E22">
        <v>0.6</v>
      </c>
      <c r="F22">
        <v>0.85</v>
      </c>
      <c r="G22">
        <v>1</v>
      </c>
      <c r="H22">
        <v>0</v>
      </c>
      <c r="I22" s="1"/>
      <c r="J22">
        <f t="shared" si="0"/>
        <v>0</v>
      </c>
      <c r="K22">
        <f t="shared" si="1"/>
        <v>0</v>
      </c>
      <c r="L22">
        <f t="shared" si="2"/>
        <v>0</v>
      </c>
      <c r="M22">
        <f t="shared" si="3"/>
        <v>0.51</v>
      </c>
    </row>
    <row r="23" spans="1:13" x14ac:dyDescent="0.2">
      <c r="A23" t="s">
        <v>50</v>
      </c>
      <c r="B23" t="s">
        <v>51</v>
      </c>
      <c r="C23" t="s">
        <v>17</v>
      </c>
      <c r="D23" t="s">
        <v>53</v>
      </c>
      <c r="E23">
        <v>0.6</v>
      </c>
      <c r="F23">
        <v>0.85</v>
      </c>
      <c r="G23">
        <v>0</v>
      </c>
      <c r="H23">
        <v>1</v>
      </c>
      <c r="I23" s="1"/>
      <c r="J23">
        <f t="shared" si="0"/>
        <v>0</v>
      </c>
      <c r="K23">
        <f t="shared" si="1"/>
        <v>0</v>
      </c>
      <c r="L23">
        <f t="shared" si="2"/>
        <v>0</v>
      </c>
      <c r="M23">
        <f t="shared" si="3"/>
        <v>0.51</v>
      </c>
    </row>
    <row r="24" spans="1:13" x14ac:dyDescent="0.2">
      <c r="A24" t="s">
        <v>50</v>
      </c>
      <c r="B24" t="s">
        <v>54</v>
      </c>
      <c r="C24" t="s">
        <v>15</v>
      </c>
      <c r="D24" t="s">
        <v>55</v>
      </c>
      <c r="E24">
        <v>0.4</v>
      </c>
      <c r="F24">
        <v>0.8</v>
      </c>
      <c r="G24">
        <v>1</v>
      </c>
      <c r="H24">
        <v>0</v>
      </c>
      <c r="I24" s="1"/>
      <c r="J24">
        <f t="shared" si="0"/>
        <v>0</v>
      </c>
      <c r="K24">
        <f t="shared" si="1"/>
        <v>0</v>
      </c>
      <c r="L24">
        <f t="shared" si="2"/>
        <v>0</v>
      </c>
      <c r="M24">
        <f t="shared" si="3"/>
        <v>0.32000000000000006</v>
      </c>
    </row>
    <row r="25" spans="1:13" x14ac:dyDescent="0.2">
      <c r="A25" t="s">
        <v>50</v>
      </c>
      <c r="B25" t="s">
        <v>54</v>
      </c>
      <c r="C25" t="s">
        <v>17</v>
      </c>
      <c r="D25" t="s">
        <v>56</v>
      </c>
      <c r="E25">
        <v>0.4</v>
      </c>
      <c r="F25">
        <v>0.8</v>
      </c>
      <c r="G25">
        <v>0</v>
      </c>
      <c r="H25">
        <v>1</v>
      </c>
      <c r="I25" s="1"/>
      <c r="J25">
        <f t="shared" si="0"/>
        <v>0</v>
      </c>
      <c r="K25">
        <f t="shared" si="1"/>
        <v>0</v>
      </c>
      <c r="L25">
        <f t="shared" si="2"/>
        <v>0</v>
      </c>
      <c r="M25">
        <f t="shared" si="3"/>
        <v>0.32000000000000006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"/>
  <sheetViews>
    <sheetView workbookViewId="0">
      <selection activeCell="B20" sqref="B20"/>
    </sheetView>
  </sheetViews>
  <sheetFormatPr baseColWidth="10" defaultColWidth="8.83203125" defaultRowHeight="15" x14ac:dyDescent="0.2"/>
  <cols>
    <col min="1" max="1" width="22.6640625" bestFit="1" customWidth="1"/>
    <col min="2" max="2" width="63.83203125" bestFit="1" customWidth="1"/>
    <col min="3" max="3" width="12.1640625" bestFit="1" customWidth="1"/>
    <col min="4" max="4" width="11.83203125" bestFit="1" customWidth="1"/>
  </cols>
  <sheetData>
    <row r="1" spans="1:4" x14ac:dyDescent="0.2">
      <c r="A1" t="s">
        <v>98</v>
      </c>
      <c r="B1" t="s">
        <v>58</v>
      </c>
      <c r="C1" t="s">
        <v>59</v>
      </c>
      <c r="D1" t="s">
        <v>99</v>
      </c>
    </row>
    <row r="2" spans="1:4" x14ac:dyDescent="0.2">
      <c r="A2" t="s">
        <v>100</v>
      </c>
      <c r="B2">
        <f>Índices!B2</f>
        <v>0</v>
      </c>
      <c r="C2">
        <f>Índices!C2</f>
        <v>0</v>
      </c>
      <c r="D2" t="str">
        <f>IF(Índices!B2&lt;2,"Crítico",IF(Índices!B2&lt;3,"En riesgo",IF(Índices!B2&lt;4,"Aceptable","Saludable")))</f>
        <v>Crítico</v>
      </c>
    </row>
    <row r="3" spans="1:4" x14ac:dyDescent="0.2">
      <c r="A3" t="s">
        <v>101</v>
      </c>
      <c r="B3">
        <f>Índices!B3</f>
        <v>0</v>
      </c>
      <c r="C3">
        <f>Índices!C3</f>
        <v>0</v>
      </c>
      <c r="D3" t="str">
        <f>IF(Índices!B3&lt;2,"Crítico",IF(Índices!B3&lt;3,"En riesgo",IF(Índices!B3&lt;4,"Aceptable","Saludable")))</f>
        <v>Crítico</v>
      </c>
    </row>
    <row r="4" spans="1:4" x14ac:dyDescent="0.2">
      <c r="A4" t="s">
        <v>102</v>
      </c>
      <c r="B4">
        <f>Índices!B4</f>
        <v>0</v>
      </c>
      <c r="C4">
        <f>Índices!C4</f>
        <v>0</v>
      </c>
      <c r="D4" t="str">
        <f>IF(Índices!B4&lt;2,"Crítico",IF(Índices!B4&lt;3,"En riesgo",IF(Índices!B4&lt;4,"Aceptable","Saludable")))</f>
        <v>Crítico</v>
      </c>
    </row>
    <row r="6" spans="1:4" x14ac:dyDescent="0.2">
      <c r="A6" t="s">
        <v>103</v>
      </c>
      <c r="B6" t="s">
        <v>104</v>
      </c>
    </row>
    <row r="7" spans="1:4" x14ac:dyDescent="0.2">
      <c r="A7" t="s">
        <v>105</v>
      </c>
      <c r="B7" t="str">
        <f>IF(Índices!B4&lt;2,"El bienestar general es CRÍTICO y requiere intervención inmediata.",IF(Índices!B4&lt;3,"El bienestar general presenta RIESGOS que deben priorizarse en el plan de acción.",IF(Índices!B4&lt;4,"El bienestar general es ACEPTABLE, con oportunidades de mejora claras.","El bienestar general es SALUDABLE. Conviene sostener las prácticas actuales y capitalizar lo aprendido.")))</f>
        <v>El bienestar general es CRÍTICO y requiere intervención inmediata.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workbookViewId="0">
      <selection activeCell="F21" sqref="F21"/>
    </sheetView>
  </sheetViews>
  <sheetFormatPr baseColWidth="10" defaultColWidth="8.83203125" defaultRowHeight="15" x14ac:dyDescent="0.2"/>
  <cols>
    <col min="3" max="3" width="14.33203125" customWidth="1"/>
    <col min="4" max="4" width="27.1640625" bestFit="1" customWidth="1"/>
    <col min="5" max="7" width="12.1640625" bestFit="1" customWidth="1"/>
    <col min="8" max="8" width="29.1640625" bestFit="1" customWidth="1"/>
  </cols>
  <sheetData>
    <row r="1" spans="1:8" x14ac:dyDescent="0.2">
      <c r="A1" t="s">
        <v>57</v>
      </c>
      <c r="B1" t="s">
        <v>58</v>
      </c>
      <c r="C1" t="s">
        <v>59</v>
      </c>
      <c r="D1" t="s">
        <v>60</v>
      </c>
    </row>
    <row r="2" spans="1:8" x14ac:dyDescent="0.2">
      <c r="A2" t="s">
        <v>61</v>
      </c>
      <c r="B2">
        <f>5*SUM(Respuestas!K2:K25)/SUMIFS(Respuestas!M2:M25,Respuestas!G2:G25,1)</f>
        <v>0</v>
      </c>
      <c r="C2">
        <f>B2/5*100</f>
        <v>0</v>
      </c>
      <c r="D2" t="s">
        <v>62</v>
      </c>
    </row>
    <row r="3" spans="1:8" x14ac:dyDescent="0.2">
      <c r="A3" t="s">
        <v>63</v>
      </c>
      <c r="B3">
        <f>5*SUM(Respuestas!L2:L25)/SUMIFS(Respuestas!M2:M25,Respuestas!H2:H25,1)</f>
        <v>0</v>
      </c>
      <c r="C3">
        <f>B3/5*100</f>
        <v>0</v>
      </c>
      <c r="D3" t="s">
        <v>64</v>
      </c>
    </row>
    <row r="4" spans="1:8" x14ac:dyDescent="0.2">
      <c r="A4" t="s">
        <v>65</v>
      </c>
      <c r="B4">
        <f>(B2+B3)/2</f>
        <v>0</v>
      </c>
      <c r="C4">
        <f>B4/5*100</f>
        <v>0</v>
      </c>
      <c r="D4" t="s">
        <v>66</v>
      </c>
    </row>
    <row r="6" spans="1:8" x14ac:dyDescent="0.2">
      <c r="A6" t="s">
        <v>0</v>
      </c>
      <c r="B6" t="s">
        <v>67</v>
      </c>
      <c r="C6" t="s">
        <v>68</v>
      </c>
      <c r="D6" t="s">
        <v>69</v>
      </c>
      <c r="E6" t="s">
        <v>70</v>
      </c>
      <c r="F6" t="s">
        <v>71</v>
      </c>
      <c r="G6" t="s">
        <v>72</v>
      </c>
      <c r="H6" t="s">
        <v>60</v>
      </c>
    </row>
    <row r="7" spans="1:8" x14ac:dyDescent="0.2">
      <c r="A7" t="s">
        <v>13</v>
      </c>
      <c r="B7">
        <f>5*SUMIFS(Respuestas!K2:K25,Respuestas!A2:A25,"Físico")/SUMIFS(Respuestas!M2:M25,Respuestas!A2:A25,"Físico",Respuestas!G2:G25,1)</f>
        <v>0</v>
      </c>
      <c r="C7">
        <f t="shared" ref="C7:C12" si="0">B7/5*100</f>
        <v>0</v>
      </c>
      <c r="D7">
        <f>5*SUMIFS(Respuestas!L2:L25,Respuestas!A2:A25,"Físico")/SUMIFS(Respuestas!M2:M25,Respuestas!A2:A25,"Físico",Respuestas!H2:H25,1)</f>
        <v>0</v>
      </c>
      <c r="E7">
        <f t="shared" ref="E7:E12" si="1">D7/5*100</f>
        <v>0</v>
      </c>
      <c r="F7">
        <f t="shared" ref="F7:F12" si="2">(B7+D7)/2</f>
        <v>0</v>
      </c>
      <c r="G7">
        <f t="shared" ref="G7:G12" si="3">F7/5*100</f>
        <v>0</v>
      </c>
      <c r="H7" t="s">
        <v>73</v>
      </c>
    </row>
    <row r="8" spans="1:8" x14ac:dyDescent="0.2">
      <c r="A8" t="s">
        <v>22</v>
      </c>
      <c r="B8">
        <f>5*SUMIFS(Respuestas!K2:K25,Respuestas!A2:A25,"Nutricional")/SUMIFS(Respuestas!M2:M25,Respuestas!A2:A25,"Nutricional",Respuestas!G2:G25,1)</f>
        <v>0</v>
      </c>
      <c r="C8">
        <f t="shared" si="0"/>
        <v>0</v>
      </c>
      <c r="D8">
        <f>5*SUMIFS(Respuestas!L2:L25,Respuestas!A2:A25,"Nutricional")/SUMIFS(Respuestas!M2:M25,Respuestas!A2:A25,"Nutricional",Respuestas!H2:H25,1)</f>
        <v>0</v>
      </c>
      <c r="E8">
        <f t="shared" si="1"/>
        <v>0</v>
      </c>
      <c r="F8">
        <f t="shared" si="2"/>
        <v>0</v>
      </c>
      <c r="G8">
        <f t="shared" si="3"/>
        <v>0</v>
      </c>
      <c r="H8" t="s">
        <v>74</v>
      </c>
    </row>
    <row r="9" spans="1:8" x14ac:dyDescent="0.2">
      <c r="A9" t="s">
        <v>26</v>
      </c>
      <c r="B9">
        <f>5*SUMIFS(Respuestas!K2:K25,Respuestas!A2:A25,"Emocional")/SUMIFS(Respuestas!M2:M25,Respuestas!A2:A25,"Emocional",Respuestas!G2:G25,1)</f>
        <v>0</v>
      </c>
      <c r="C9">
        <f t="shared" si="0"/>
        <v>0</v>
      </c>
      <c r="D9">
        <f>5*SUMIFS(Respuestas!L2:L25,Respuestas!A2:A25,"Emocional")/SUMIFS(Respuestas!M2:M25,Respuestas!A2:A25,"Emocional",Respuestas!H2:H25,1)</f>
        <v>0</v>
      </c>
      <c r="E9">
        <f t="shared" si="1"/>
        <v>0</v>
      </c>
      <c r="F9">
        <f t="shared" si="2"/>
        <v>0</v>
      </c>
      <c r="G9">
        <f t="shared" si="3"/>
        <v>0</v>
      </c>
      <c r="H9" t="s">
        <v>75</v>
      </c>
    </row>
    <row r="10" spans="1:8" x14ac:dyDescent="0.2">
      <c r="A10" t="s">
        <v>36</v>
      </c>
      <c r="B10">
        <f>5*SUMIFS(Respuestas!K2:K25,Respuestas!A2:A25,"Social")/SUMIFS(Respuestas!M2:M25,Respuestas!A2:A25,"Social",Respuestas!G2:G25,1)</f>
        <v>0</v>
      </c>
      <c r="C10">
        <f t="shared" si="0"/>
        <v>0</v>
      </c>
      <c r="D10">
        <f>5*SUMIFS(Respuestas!L2:L25,Respuestas!A2:A25,"Social")/SUMIFS(Respuestas!M2:M25,Respuestas!A2:A25,"Social",Respuestas!H2:H25,1)</f>
        <v>0</v>
      </c>
      <c r="E10">
        <f t="shared" si="1"/>
        <v>0</v>
      </c>
      <c r="F10">
        <f t="shared" si="2"/>
        <v>0</v>
      </c>
      <c r="G10">
        <f t="shared" si="3"/>
        <v>0</v>
      </c>
      <c r="H10" t="s">
        <v>76</v>
      </c>
    </row>
    <row r="11" spans="1:8" x14ac:dyDescent="0.2">
      <c r="A11" t="s">
        <v>43</v>
      </c>
      <c r="B11">
        <f>5*SUMIFS(Respuestas!K2:K25,Respuestas!A2:A25,"Familiar")/SUMIFS(Respuestas!M2:M25,Respuestas!A2:A25,"Familiar",Respuestas!G2:G25,1)</f>
        <v>0</v>
      </c>
      <c r="C11">
        <f t="shared" si="0"/>
        <v>0</v>
      </c>
      <c r="D11">
        <f>5*SUMIFS(Respuestas!L2:L25,Respuestas!A2:A25,"Familiar")/SUMIFS(Respuestas!M2:M25,Respuestas!A2:A25,"Familiar",Respuestas!H2:H25,1)</f>
        <v>0</v>
      </c>
      <c r="E11">
        <f t="shared" si="1"/>
        <v>0</v>
      </c>
      <c r="F11">
        <f t="shared" si="2"/>
        <v>0</v>
      </c>
      <c r="G11">
        <f t="shared" si="3"/>
        <v>0</v>
      </c>
      <c r="H11" t="s">
        <v>77</v>
      </c>
    </row>
    <row r="12" spans="1:8" x14ac:dyDescent="0.2">
      <c r="A12" t="s">
        <v>50</v>
      </c>
      <c r="B12">
        <f>5*SUMIFS(Respuestas!K2:K25,Respuestas!A2:A25,"Económico")/SUMIFS(Respuestas!M2:M25,Respuestas!A2:A25,"Económico",Respuestas!G2:G25,1)</f>
        <v>0</v>
      </c>
      <c r="C12">
        <f t="shared" si="0"/>
        <v>0</v>
      </c>
      <c r="D12">
        <f>5*SUMIFS(Respuestas!L2:L25,Respuestas!A2:A25,"Económico")/SUMIFS(Respuestas!M2:M25,Respuestas!A2:A25,"Económico",Respuestas!H2:H25,1)</f>
        <v>0</v>
      </c>
      <c r="E12">
        <f t="shared" si="1"/>
        <v>0</v>
      </c>
      <c r="F12">
        <f t="shared" si="2"/>
        <v>0</v>
      </c>
      <c r="G12">
        <f t="shared" si="3"/>
        <v>0</v>
      </c>
      <c r="H12" t="s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topLeftCell="C1" workbookViewId="0">
      <selection activeCell="C26" sqref="C26"/>
    </sheetView>
  </sheetViews>
  <sheetFormatPr baseColWidth="10" defaultColWidth="8.83203125" defaultRowHeight="15" x14ac:dyDescent="0.2"/>
  <cols>
    <col min="1" max="1" width="8.1640625" bestFit="1" customWidth="1"/>
    <col min="2" max="2" width="57.33203125" bestFit="1" customWidth="1"/>
    <col min="3" max="3" width="85.5" bestFit="1" customWidth="1"/>
    <col min="4" max="4" width="10.83203125" bestFit="1" customWidth="1"/>
    <col min="5" max="5" width="145.6640625" bestFit="1" customWidth="1"/>
  </cols>
  <sheetData>
    <row r="1" spans="1:5" x14ac:dyDescent="0.2">
      <c r="A1" t="s">
        <v>79</v>
      </c>
      <c r="B1" t="s">
        <v>80</v>
      </c>
      <c r="C1" t="s">
        <v>81</v>
      </c>
      <c r="D1" t="s">
        <v>82</v>
      </c>
      <c r="E1" t="s">
        <v>83</v>
      </c>
    </row>
    <row r="2" spans="1:5" x14ac:dyDescent="0.2">
      <c r="A2">
        <v>1</v>
      </c>
      <c r="B2" t="s">
        <v>84</v>
      </c>
      <c r="C2" t="s">
        <v>85</v>
      </c>
      <c r="D2">
        <v>-1</v>
      </c>
      <c r="E2" t="s">
        <v>86</v>
      </c>
    </row>
    <row r="3" spans="1:5" x14ac:dyDescent="0.2">
      <c r="A3">
        <v>2</v>
      </c>
      <c r="B3" t="s">
        <v>87</v>
      </c>
      <c r="C3" t="s">
        <v>88</v>
      </c>
      <c r="D3">
        <v>0</v>
      </c>
      <c r="E3" t="s">
        <v>89</v>
      </c>
    </row>
    <row r="4" spans="1:5" x14ac:dyDescent="0.2">
      <c r="A4">
        <v>3</v>
      </c>
      <c r="B4" t="s">
        <v>90</v>
      </c>
      <c r="C4" t="s">
        <v>91</v>
      </c>
      <c r="D4">
        <v>1</v>
      </c>
      <c r="E4" t="s">
        <v>92</v>
      </c>
    </row>
    <row r="5" spans="1:5" x14ac:dyDescent="0.2">
      <c r="A5">
        <v>4</v>
      </c>
      <c r="B5" t="s">
        <v>93</v>
      </c>
      <c r="C5" t="s">
        <v>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>
      <selection activeCell="F27" sqref="F27"/>
    </sheetView>
  </sheetViews>
  <sheetFormatPr baseColWidth="10" defaultColWidth="8.83203125" defaultRowHeight="15" x14ac:dyDescent="0.2"/>
  <cols>
    <col min="1" max="1" width="9.83203125" bestFit="1" customWidth="1"/>
    <col min="2" max="2" width="12.1640625" bestFit="1" customWidth="1"/>
    <col min="3" max="3" width="8.1640625" bestFit="1" customWidth="1"/>
    <col min="4" max="4" width="85.5" bestFit="1" customWidth="1"/>
  </cols>
  <sheetData>
    <row r="1" spans="1:4" x14ac:dyDescent="0.2">
      <c r="A1" t="s">
        <v>0</v>
      </c>
      <c r="B1" t="s">
        <v>71</v>
      </c>
      <c r="C1" t="s">
        <v>79</v>
      </c>
      <c r="D1" t="s">
        <v>97</v>
      </c>
    </row>
    <row r="2" spans="1:4" x14ac:dyDescent="0.2">
      <c r="A2" t="s">
        <v>13</v>
      </c>
      <c r="B2">
        <f>Conclusiones!D2</f>
        <v>0</v>
      </c>
      <c r="C2">
        <f>Conclusiones!E2</f>
        <v>1</v>
      </c>
      <c r="D2" t="str">
        <f>Conclusiones!I2</f>
        <v>Definir e implementar un plan de acción urgente con medidas concretas, responsables y seguimiento cercano.</v>
      </c>
    </row>
    <row r="3" spans="1:4" x14ac:dyDescent="0.2">
      <c r="A3" t="s">
        <v>22</v>
      </c>
      <c r="B3">
        <f>Conclusiones!D3</f>
        <v>0</v>
      </c>
      <c r="C3">
        <f>Conclusiones!E3</f>
        <v>1</v>
      </c>
      <c r="D3" t="str">
        <f>Conclusiones!I3</f>
        <v>Definir e implementar un plan de acción urgente con medidas concretas, responsables y seguimiento cercano.</v>
      </c>
    </row>
    <row r="4" spans="1:4" x14ac:dyDescent="0.2">
      <c r="A4" t="s">
        <v>26</v>
      </c>
      <c r="B4">
        <f>Conclusiones!D4</f>
        <v>0</v>
      </c>
      <c r="C4">
        <f>Conclusiones!E4</f>
        <v>1</v>
      </c>
      <c r="D4" t="str">
        <f>Conclusiones!I4</f>
        <v>Definir e implementar un plan de acción urgente con medidas concretas, responsables y seguimiento cercano.</v>
      </c>
    </row>
    <row r="5" spans="1:4" x14ac:dyDescent="0.2">
      <c r="A5" t="s">
        <v>36</v>
      </c>
      <c r="B5">
        <f>Conclusiones!D5</f>
        <v>0</v>
      </c>
      <c r="C5">
        <f>Conclusiones!E5</f>
        <v>1</v>
      </c>
      <c r="D5" t="str">
        <f>Conclusiones!I5</f>
        <v>Definir e implementar un plan de acción urgente con medidas concretas, responsables y seguimiento cercano.</v>
      </c>
    </row>
    <row r="6" spans="1:4" x14ac:dyDescent="0.2">
      <c r="A6" t="s">
        <v>43</v>
      </c>
      <c r="B6">
        <f>Conclusiones!D6</f>
        <v>0</v>
      </c>
      <c r="C6">
        <f>Conclusiones!E6</f>
        <v>1</v>
      </c>
      <c r="D6" t="str">
        <f>Conclusiones!I6</f>
        <v>Definir e implementar un plan de acción urgente con medidas concretas, responsables y seguimiento cercano.</v>
      </c>
    </row>
    <row r="7" spans="1:4" x14ac:dyDescent="0.2">
      <c r="A7" t="s">
        <v>50</v>
      </c>
      <c r="B7">
        <f>Conclusiones!D7</f>
        <v>0</v>
      </c>
      <c r="C7">
        <f>Conclusiones!E7</f>
        <v>1</v>
      </c>
      <c r="D7" t="str">
        <f>Conclusiones!I7</f>
        <v>Definir e implementar un plan de acción urgente con medidas concretas, responsables y seguimiento cercano.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"/>
  <sheetViews>
    <sheetView topLeftCell="F1" workbookViewId="0">
      <selection activeCell="H2" sqref="H2"/>
    </sheetView>
  </sheetViews>
  <sheetFormatPr baseColWidth="10" defaultColWidth="8.83203125" defaultRowHeight="15" x14ac:dyDescent="0.2"/>
  <cols>
    <col min="1" max="1" width="9.83203125" bestFit="1" customWidth="1"/>
    <col min="2" max="4" width="12.1640625" bestFit="1" customWidth="1"/>
    <col min="5" max="5" width="8.1640625" bestFit="1" customWidth="1"/>
    <col min="6" max="6" width="10.83203125" bestFit="1" customWidth="1"/>
    <col min="7" max="7" width="78.33203125" bestFit="1" customWidth="1"/>
    <col min="8" max="8" width="145.6640625" bestFit="1" customWidth="1"/>
    <col min="9" max="9" width="85.5" bestFit="1" customWidth="1"/>
  </cols>
  <sheetData>
    <row r="1" spans="1:9" x14ac:dyDescent="0.2">
      <c r="A1" t="s">
        <v>0</v>
      </c>
      <c r="B1" t="s">
        <v>67</v>
      </c>
      <c r="C1" t="s">
        <v>69</v>
      </c>
      <c r="D1" t="s">
        <v>71</v>
      </c>
      <c r="E1" t="s">
        <v>79</v>
      </c>
      <c r="F1" t="s">
        <v>82</v>
      </c>
      <c r="G1" t="s">
        <v>95</v>
      </c>
      <c r="H1" t="s">
        <v>96</v>
      </c>
      <c r="I1" t="s">
        <v>97</v>
      </c>
    </row>
    <row r="2" spans="1:9" x14ac:dyDescent="0.2">
      <c r="A2" t="s">
        <v>13</v>
      </c>
      <c r="B2">
        <f>INDEX(Índices!B:B,MATCH(A2,Índices!A:A,0))</f>
        <v>0</v>
      </c>
      <c r="C2">
        <f>INDEX(Índices!D:D,MATCH(A2,Índices!A:A,0))</f>
        <v>0</v>
      </c>
      <c r="D2">
        <f>INDEX(Índices!F:F,MATCH(A2,Índices!A:A,0))</f>
        <v>0</v>
      </c>
      <c r="E2">
        <f t="shared" ref="E2:E7" si="0">IF(D2&lt;2,1,IF(D2&lt;3,2,IF(D2&lt;4,3,4)))</f>
        <v>1</v>
      </c>
      <c r="F2">
        <f t="shared" ref="F2:F7" si="1">IF(B2&lt;C2-0.5,-1,IF(C2&lt;B2-0.5,1,0))</f>
        <v>0</v>
      </c>
      <c r="G2" t="str">
        <f>"En el dominio "&amp;A2&amp;", "&amp;INDEX(Mensajes!B:B,MATCH(E2,Mensajes!A:A,0))</f>
        <v>En el dominio Físico, se encuentra en un nivel CRÍTICO y requiere atención inmediata.</v>
      </c>
      <c r="H2" t="str">
        <f>INDEX(Mensajes!E:E,MATCH(F2,Mensajes!D:D,0))</f>
        <v>No se observa una brecha marcada entre lo personal y lo organizacional. Es un dominio que requiere mejoras integradas (persona–organización).</v>
      </c>
      <c r="I2" t="str">
        <f>INDEX(Mensajes!C:C,MATCH(E2,Mensajes!A:A,0))</f>
        <v>Definir e implementar un plan de acción urgente con medidas concretas, responsables y seguimiento cercano.</v>
      </c>
    </row>
    <row r="3" spans="1:9" x14ac:dyDescent="0.2">
      <c r="A3" t="s">
        <v>22</v>
      </c>
      <c r="B3">
        <f>INDEX(Índices!B:B,MATCH(A3,Índices!A:A,0))</f>
        <v>0</v>
      </c>
      <c r="C3">
        <f>INDEX(Índices!D:D,MATCH(A3,Índices!A:A,0))</f>
        <v>0</v>
      </c>
      <c r="D3">
        <f>INDEX(Índices!F:F,MATCH(A3,Índices!A:A,0))</f>
        <v>0</v>
      </c>
      <c r="E3">
        <f t="shared" si="0"/>
        <v>1</v>
      </c>
      <c r="F3">
        <f t="shared" si="1"/>
        <v>0</v>
      </c>
      <c r="G3" t="str">
        <f>"En el dominio "&amp;A3&amp;", "&amp;INDEX(Mensajes!B:B,MATCH(E3,Mensajes!A:A,0))</f>
        <v>En el dominio Nutricional, se encuentra en un nivel CRÍTICO y requiere atención inmediata.</v>
      </c>
      <c r="H3" t="str">
        <f>INDEX(Mensajes!E:E,MATCH(F3,Mensajes!D:D,0))</f>
        <v>No se observa una brecha marcada entre lo personal y lo organizacional. Es un dominio que requiere mejoras integradas (persona–organización).</v>
      </c>
      <c r="I3" t="str">
        <f>INDEX(Mensajes!C:C,MATCH(E3,Mensajes!A:A,0))</f>
        <v>Definir e implementar un plan de acción urgente con medidas concretas, responsables y seguimiento cercano.</v>
      </c>
    </row>
    <row r="4" spans="1:9" x14ac:dyDescent="0.2">
      <c r="A4" t="s">
        <v>26</v>
      </c>
      <c r="B4">
        <f>INDEX(Índices!B:B,MATCH(A4,Índices!A:A,0))</f>
        <v>0</v>
      </c>
      <c r="C4">
        <f>INDEX(Índices!D:D,MATCH(A4,Índices!A:A,0))</f>
        <v>0</v>
      </c>
      <c r="D4">
        <f>INDEX(Índices!F:F,MATCH(A4,Índices!A:A,0))</f>
        <v>0</v>
      </c>
      <c r="E4">
        <f t="shared" si="0"/>
        <v>1</v>
      </c>
      <c r="F4">
        <f t="shared" si="1"/>
        <v>0</v>
      </c>
      <c r="G4" t="str">
        <f>"En el dominio "&amp;A4&amp;", "&amp;INDEX(Mensajes!B:B,MATCH(E4,Mensajes!A:A,0))</f>
        <v>En el dominio Emocional, se encuentra en un nivel CRÍTICO y requiere atención inmediata.</v>
      </c>
      <c r="H4" t="str">
        <f>INDEX(Mensajes!E:E,MATCH(F4,Mensajes!D:D,0))</f>
        <v>No se observa una brecha marcada entre lo personal y lo organizacional. Es un dominio que requiere mejoras integradas (persona–organización).</v>
      </c>
      <c r="I4" t="str">
        <f>INDEX(Mensajes!C:C,MATCH(E4,Mensajes!A:A,0))</f>
        <v>Definir e implementar un plan de acción urgente con medidas concretas, responsables y seguimiento cercano.</v>
      </c>
    </row>
    <row r="5" spans="1:9" x14ac:dyDescent="0.2">
      <c r="A5" t="s">
        <v>36</v>
      </c>
      <c r="B5">
        <f>INDEX(Índices!B:B,MATCH(A5,Índices!A:A,0))</f>
        <v>0</v>
      </c>
      <c r="C5">
        <f>INDEX(Índices!D:D,MATCH(A5,Índices!A:A,0))</f>
        <v>0</v>
      </c>
      <c r="D5">
        <f>INDEX(Índices!F:F,MATCH(A5,Índices!A:A,0))</f>
        <v>0</v>
      </c>
      <c r="E5">
        <f t="shared" si="0"/>
        <v>1</v>
      </c>
      <c r="F5">
        <f t="shared" si="1"/>
        <v>0</v>
      </c>
      <c r="G5" t="str">
        <f>"En el dominio "&amp;A5&amp;", "&amp;INDEX(Mensajes!B:B,MATCH(E5,Mensajes!A:A,0))</f>
        <v>En el dominio Social, se encuentra en un nivel CRÍTICO y requiere atención inmediata.</v>
      </c>
      <c r="H5" t="str">
        <f>INDEX(Mensajes!E:E,MATCH(F5,Mensajes!D:D,0))</f>
        <v>No se observa una brecha marcada entre lo personal y lo organizacional. Es un dominio que requiere mejoras integradas (persona–organización).</v>
      </c>
      <c r="I5" t="str">
        <f>INDEX(Mensajes!C:C,MATCH(E5,Mensajes!A:A,0))</f>
        <v>Definir e implementar un plan de acción urgente con medidas concretas, responsables y seguimiento cercano.</v>
      </c>
    </row>
    <row r="6" spans="1:9" x14ac:dyDescent="0.2">
      <c r="A6" t="s">
        <v>43</v>
      </c>
      <c r="B6">
        <f>INDEX(Índices!B:B,MATCH(A6,Índices!A:A,0))</f>
        <v>0</v>
      </c>
      <c r="C6">
        <f>INDEX(Índices!D:D,MATCH(A6,Índices!A:A,0))</f>
        <v>0</v>
      </c>
      <c r="D6">
        <f>INDEX(Índices!F:F,MATCH(A6,Índices!A:A,0))</f>
        <v>0</v>
      </c>
      <c r="E6">
        <f t="shared" si="0"/>
        <v>1</v>
      </c>
      <c r="F6">
        <f t="shared" si="1"/>
        <v>0</v>
      </c>
      <c r="G6" t="str">
        <f>"En el dominio "&amp;A6&amp;", "&amp;INDEX(Mensajes!B:B,MATCH(E6,Mensajes!A:A,0))</f>
        <v>En el dominio Familiar, se encuentra en un nivel CRÍTICO y requiere atención inmediata.</v>
      </c>
      <c r="H6" t="str">
        <f>INDEX(Mensajes!E:E,MATCH(F6,Mensajes!D:D,0))</f>
        <v>No se observa una brecha marcada entre lo personal y lo organizacional. Es un dominio que requiere mejoras integradas (persona–organización).</v>
      </c>
      <c r="I6" t="str">
        <f>INDEX(Mensajes!C:C,MATCH(E6,Mensajes!A:A,0))</f>
        <v>Definir e implementar un plan de acción urgente con medidas concretas, responsables y seguimiento cercano.</v>
      </c>
    </row>
    <row r="7" spans="1:9" x14ac:dyDescent="0.2">
      <c r="A7" t="s">
        <v>50</v>
      </c>
      <c r="B7">
        <f>INDEX(Índices!B:B,MATCH(A7,Índices!A:A,0))</f>
        <v>0</v>
      </c>
      <c r="C7">
        <f>INDEX(Índices!D:D,MATCH(A7,Índices!A:A,0))</f>
        <v>0</v>
      </c>
      <c r="D7">
        <f>INDEX(Índices!F:F,MATCH(A7,Índices!A:A,0))</f>
        <v>0</v>
      </c>
      <c r="E7">
        <f t="shared" si="0"/>
        <v>1</v>
      </c>
      <c r="F7">
        <f t="shared" si="1"/>
        <v>0</v>
      </c>
      <c r="G7" t="str">
        <f>"En el dominio "&amp;A7&amp;", "&amp;INDEX(Mensajes!B:B,MATCH(E7,Mensajes!A:A,0))</f>
        <v>En el dominio Económico, se encuentra en un nivel CRÍTICO y requiere atención inmediata.</v>
      </c>
      <c r="H7" t="str">
        <f>INDEX(Mensajes!E:E,MATCH(F7,Mensajes!D:D,0))</f>
        <v>No se observa una brecha marcada entre lo personal y lo organizacional. Es un dominio que requiere mejoras integradas (persona–organización).</v>
      </c>
      <c r="I7" t="str">
        <f>INDEX(Mensajes!C:C,MATCH(E7,Mensajes!A:A,0))</f>
        <v>Definir e implementar un plan de acción urgente con medidas concretas, responsables y seguimiento cercano.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"/>
  <sheetViews>
    <sheetView workbookViewId="0">
      <selection activeCell="H27" sqref="H27"/>
    </sheetView>
  </sheetViews>
  <sheetFormatPr baseColWidth="10" defaultColWidth="8.83203125" defaultRowHeight="15" x14ac:dyDescent="0.2"/>
  <cols>
    <col min="1" max="1" width="9.83203125" bestFit="1" customWidth="1"/>
    <col min="2" max="7" width="12.1640625" bestFit="1" customWidth="1"/>
    <col min="8" max="8" width="78.33203125" bestFit="1" customWidth="1"/>
    <col min="9" max="9" width="109.5" customWidth="1"/>
    <col min="10" max="10" width="76.6640625" bestFit="1" customWidth="1"/>
  </cols>
  <sheetData>
    <row r="1" spans="1:10" x14ac:dyDescent="0.2">
      <c r="A1" t="s">
        <v>0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95</v>
      </c>
      <c r="I1" t="s">
        <v>96</v>
      </c>
      <c r="J1" t="s">
        <v>97</v>
      </c>
    </row>
    <row r="2" spans="1:10" x14ac:dyDescent="0.2">
      <c r="A2" t="s">
        <v>13</v>
      </c>
      <c r="B2">
        <f>INDEX(Índices!B:B,MATCH(A2,Índices!A:A,0))</f>
        <v>0</v>
      </c>
      <c r="C2">
        <f>INDEX(Índices!C:C,MATCH(A2,Índices!A:A,0))</f>
        <v>0</v>
      </c>
      <c r="D2">
        <f>INDEX(Índices!D:D,MATCH(A2,Índices!A:A,0))</f>
        <v>0</v>
      </c>
      <c r="E2">
        <f>INDEX(Índices!E:E,MATCH(A2,Índices!A:A,0))</f>
        <v>0</v>
      </c>
      <c r="F2">
        <f>INDEX(Índices!F:F,MATCH(A2,Índices!A:A,0))</f>
        <v>0</v>
      </c>
      <c r="G2">
        <f>INDEX(Índices!G:G,MATCH(A2,Índices!A:A,0))</f>
        <v>0</v>
      </c>
      <c r="H2" t="str">
        <f>Conclusiones!G2</f>
        <v>En el dominio Físico, se encuentra en un nivel CRÍTICO y requiere atención inmediata.</v>
      </c>
      <c r="I2" t="str">
        <f>Conclusiones!H2</f>
        <v>No se observa una brecha marcada entre lo personal y lo organizacional. Es un dominio que requiere mejoras integradas (persona–organización).</v>
      </c>
      <c r="J2" t="str">
        <f>Conclusiones!I2</f>
        <v>Definir e implementar un plan de acción urgente con medidas concretas, responsables y seguimiento cercano.</v>
      </c>
    </row>
    <row r="3" spans="1:10" x14ac:dyDescent="0.2">
      <c r="A3" t="s">
        <v>22</v>
      </c>
      <c r="B3">
        <f>INDEX(Índices!B:B,MATCH(A3,Índices!A:A,0))</f>
        <v>0</v>
      </c>
      <c r="C3">
        <f>INDEX(Índices!C:C,MATCH(A3,Índices!A:A,0))</f>
        <v>0</v>
      </c>
      <c r="D3">
        <f>INDEX(Índices!D:D,MATCH(A3,Índices!A:A,0))</f>
        <v>0</v>
      </c>
      <c r="E3">
        <f>INDEX(Índices!E:E,MATCH(A3,Índices!A:A,0))</f>
        <v>0</v>
      </c>
      <c r="F3">
        <f>INDEX(Índices!F:F,MATCH(A3,Índices!A:A,0))</f>
        <v>0</v>
      </c>
      <c r="G3">
        <f>INDEX(Índices!G:G,MATCH(A3,Índices!A:A,0))</f>
        <v>0</v>
      </c>
      <c r="H3" t="str">
        <f>Conclusiones!G3</f>
        <v>En el dominio Nutricional, se encuentra en un nivel CRÍTICO y requiere atención inmediata.</v>
      </c>
      <c r="I3" t="str">
        <f>Conclusiones!H3</f>
        <v>No se observa una brecha marcada entre lo personal y lo organizacional. Es un dominio que requiere mejoras integradas (persona–organización).</v>
      </c>
      <c r="J3" t="str">
        <f>Conclusiones!I3</f>
        <v>Definir e implementar un plan de acción urgente con medidas concretas, responsables y seguimiento cercano.</v>
      </c>
    </row>
    <row r="4" spans="1:10" x14ac:dyDescent="0.2">
      <c r="A4" t="s">
        <v>26</v>
      </c>
      <c r="B4">
        <f>INDEX(Índices!B:B,MATCH(A4,Índices!A:A,0))</f>
        <v>0</v>
      </c>
      <c r="C4">
        <f>INDEX(Índices!C:C,MATCH(A4,Índices!A:A,0))</f>
        <v>0</v>
      </c>
      <c r="D4">
        <f>INDEX(Índices!D:D,MATCH(A4,Índices!A:A,0))</f>
        <v>0</v>
      </c>
      <c r="E4">
        <f>INDEX(Índices!E:E,MATCH(A4,Índices!A:A,0))</f>
        <v>0</v>
      </c>
      <c r="F4">
        <f>INDEX(Índices!F:F,MATCH(A4,Índices!A:A,0))</f>
        <v>0</v>
      </c>
      <c r="G4">
        <f>INDEX(Índices!G:G,MATCH(A4,Índices!A:A,0))</f>
        <v>0</v>
      </c>
      <c r="H4" t="str">
        <f>Conclusiones!G4</f>
        <v>En el dominio Emocional, se encuentra en un nivel CRÍTICO y requiere atención inmediata.</v>
      </c>
      <c r="I4" t="str">
        <f>Conclusiones!H4</f>
        <v>No se observa una brecha marcada entre lo personal y lo organizacional. Es un dominio que requiere mejoras integradas (persona–organización).</v>
      </c>
      <c r="J4" t="str">
        <f>Conclusiones!I4</f>
        <v>Definir e implementar un plan de acción urgente con medidas concretas, responsables y seguimiento cercano.</v>
      </c>
    </row>
    <row r="5" spans="1:10" x14ac:dyDescent="0.2">
      <c r="A5" t="s">
        <v>36</v>
      </c>
      <c r="B5">
        <f>INDEX(Índices!B:B,MATCH(A5,Índices!A:A,0))</f>
        <v>0</v>
      </c>
      <c r="C5">
        <f>INDEX(Índices!C:C,MATCH(A5,Índices!A:A,0))</f>
        <v>0</v>
      </c>
      <c r="D5">
        <f>INDEX(Índices!D:D,MATCH(A5,Índices!A:A,0))</f>
        <v>0</v>
      </c>
      <c r="E5">
        <f>INDEX(Índices!E:E,MATCH(A5,Índices!A:A,0))</f>
        <v>0</v>
      </c>
      <c r="F5">
        <f>INDEX(Índices!F:F,MATCH(A5,Índices!A:A,0))</f>
        <v>0</v>
      </c>
      <c r="G5">
        <f>INDEX(Índices!G:G,MATCH(A5,Índices!A:A,0))</f>
        <v>0</v>
      </c>
      <c r="H5" t="str">
        <f>Conclusiones!G5</f>
        <v>En el dominio Social, se encuentra en un nivel CRÍTICO y requiere atención inmediata.</v>
      </c>
      <c r="I5" t="str">
        <f>Conclusiones!H5</f>
        <v>No se observa una brecha marcada entre lo personal y lo organizacional. Es un dominio que requiere mejoras integradas (persona–organización).</v>
      </c>
      <c r="J5" t="str">
        <f>Conclusiones!I5</f>
        <v>Definir e implementar un plan de acción urgente con medidas concretas, responsables y seguimiento cercano.</v>
      </c>
    </row>
    <row r="6" spans="1:10" x14ac:dyDescent="0.2">
      <c r="A6" t="s">
        <v>43</v>
      </c>
      <c r="B6">
        <f>INDEX(Índices!B:B,MATCH(A6,Índices!A:A,0))</f>
        <v>0</v>
      </c>
      <c r="C6">
        <f>INDEX(Índices!C:C,MATCH(A6,Índices!A:A,0))</f>
        <v>0</v>
      </c>
      <c r="D6">
        <f>INDEX(Índices!D:D,MATCH(A6,Índices!A:A,0))</f>
        <v>0</v>
      </c>
      <c r="E6">
        <f>INDEX(Índices!E:E,MATCH(A6,Índices!A:A,0))</f>
        <v>0</v>
      </c>
      <c r="F6">
        <f>INDEX(Índices!F:F,MATCH(A6,Índices!A:A,0))</f>
        <v>0</v>
      </c>
      <c r="G6">
        <f>INDEX(Índices!G:G,MATCH(A6,Índices!A:A,0))</f>
        <v>0</v>
      </c>
      <c r="H6" t="str">
        <f>Conclusiones!G6</f>
        <v>En el dominio Familiar, se encuentra en un nivel CRÍTICO y requiere atención inmediata.</v>
      </c>
      <c r="I6" t="str">
        <f>Conclusiones!H6</f>
        <v>No se observa una brecha marcada entre lo personal y lo organizacional. Es un dominio que requiere mejoras integradas (persona–organización).</v>
      </c>
      <c r="J6" t="str">
        <f>Conclusiones!I6</f>
        <v>Definir e implementar un plan de acción urgente con medidas concretas, responsables y seguimiento cercano.</v>
      </c>
    </row>
    <row r="7" spans="1:10" x14ac:dyDescent="0.2">
      <c r="A7" t="s">
        <v>50</v>
      </c>
      <c r="B7">
        <f>INDEX(Índices!B:B,MATCH(A7,Índices!A:A,0))</f>
        <v>0</v>
      </c>
      <c r="C7">
        <f>INDEX(Índices!C:C,MATCH(A7,Índices!A:A,0))</f>
        <v>0</v>
      </c>
      <c r="D7">
        <f>INDEX(Índices!D:D,MATCH(A7,Índices!A:A,0))</f>
        <v>0</v>
      </c>
      <c r="E7">
        <f>INDEX(Índices!E:E,MATCH(A7,Índices!A:A,0))</f>
        <v>0</v>
      </c>
      <c r="F7">
        <f>INDEX(Índices!F:F,MATCH(A7,Índices!A:A,0))</f>
        <v>0</v>
      </c>
      <c r="G7">
        <f>INDEX(Índices!G:G,MATCH(A7,Índices!A:A,0))</f>
        <v>0</v>
      </c>
      <c r="H7" t="str">
        <f>Conclusiones!G7</f>
        <v>En el dominio Económico, se encuentra en un nivel CRÍTICO y requiere atención inmediata.</v>
      </c>
      <c r="I7" t="str">
        <f>Conclusiones!H7</f>
        <v>No se observa una brecha marcada entre lo personal y lo organizacional. Es un dominio que requiere mejoras integradas (persona–organización).</v>
      </c>
      <c r="J7" t="str">
        <f>Conclusiones!I7</f>
        <v>Definir e implementar un plan de acción urgente con medidas concretas, responsables y seguimiento cercano.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Glosario</vt:lpstr>
      <vt:lpstr>Respuestas</vt:lpstr>
      <vt:lpstr>Resumen</vt:lpstr>
      <vt:lpstr>Índices</vt:lpstr>
      <vt:lpstr>Mensajes</vt:lpstr>
      <vt:lpstr>Recomendaciones</vt:lpstr>
      <vt:lpstr>Conclusiones</vt:lpstr>
      <vt:lpstr>Informe_detallado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2025-11-24T23:30:32Z</dcterms:created>
  <dcterms:modified xsi:type="dcterms:W3CDTF">2025-11-24T23:38:27Z</dcterms:modified>
</cp:coreProperties>
</file>